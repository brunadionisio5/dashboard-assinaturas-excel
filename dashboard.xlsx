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8E68297B-8ABF-4560-92F2-790172DD1359}" xr6:coauthVersionLast="47" xr6:coauthVersionMax="47" xr10:uidLastSave="{00000000-0000-0000-0000-000000000000}"/>
  <bookViews>
    <workbookView xWindow="-120" yWindow="-120" windowWidth="20730" windowHeight="11040" firstSheet="1" activeTab="1" xr2:uid="{28DD5B76-0634-4F87-BE60-8BFA7EF2E23B}"/>
  </bookViews>
  <sheets>
    <sheet name="Receita ao longo do tempo" sheetId="5" state="hidden" r:id="rId1"/>
    <sheet name="D̳ashboard" sheetId="4" r:id="rId2"/>
  </sheets>
  <calcPr calcId="191028"/>
  <pivotCaches>
    <pivotCache cacheId="59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<sst xmlns="http://schemas.openxmlformats.org/spreadsheetml/2006/main" count="15" uniqueCount="15">
  <si>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Month</t>
  </si>
  <si>
    <t>Soma de Total Value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</si>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</sst>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6C9EC"/>
      <color rgb="FF2AE6B1"/>
      <color rgb="FF5BF6A8"/>
      <color rgb="FFE0E0E0"/>
      <color rgb="FF22C55E"/>
      <color rgb="FFE8E6E9"/>
      <color rgb="FF000000"/>
      <color rgb="FFEDEDED"/>
      <color rgb="FFF7F8FC"/>
      <color rgb="FF9BC8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Copiar.xlsx]Receita ao longo do tempo!Tabela dinâmica2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5608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Receita ao longo do tempo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5608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15608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'Receita ao longo do tempo'!$B$3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156082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'Receita ao longo do tempo'!$A$4:$A$16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'Receita ao longo do tempo'!$B$4:$B$16</c:f>
              <c:numCache>
                <c:formatCode>_("R$"* #,##0.00_);_("R$"* \(#,##0.00\);_("R$"* "-"??_);_(@_)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9D-46D8-8E3C-74F1DC53E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5932936"/>
        <c:axId val="695964680"/>
      </c:lineChart>
      <c:catAx>
        <c:axId val="695932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964680"/>
        <c:crosses val="autoZero"/>
        <c:auto val="1"/>
        <c:lblAlgn val="ctr"/>
        <c:lblOffset val="100"/>
        <c:noMultiLvlLbl val="0"/>
      </c:catAx>
      <c:valAx>
        <c:axId val="695964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932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Copiar.xlsx]Receita ao longo do tempo!Tabela dinâmica2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5608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Crescimento Mensal do Faturamento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5608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15608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15608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15608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15608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156082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156082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'Receita ao longo do tempo'!$B$3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15608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156082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'Receita ao longo do tempo'!$A$4:$A$16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'Receita ao longo do tempo'!$B$4:$B$16</c:f>
              <c:numCache>
                <c:formatCode>_("R$"* #,##0.00_);_("R$"* \(#,##0.00\);_("R$"* "-"??_);_(@_)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EF-4C81-A20E-7D47F9F3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5932936"/>
        <c:axId val="695964680"/>
      </c:lineChart>
      <c:catAx>
        <c:axId val="695932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964680"/>
        <c:crosses val="autoZero"/>
        <c:auto val="1"/>
        <c:lblAlgn val="ctr"/>
        <c:lblOffset val="100"/>
        <c:noMultiLvlLbl val="0"/>
      </c:catAx>
      <c:valAx>
        <c:axId val="695964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932936"/>
        <c:crosses val="autoZero"/>
        <c:crossBetween val="between"/>
        <c:majorUnit val="15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5608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 da Receita por Tipo de Assinatura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5608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R$ 1754,00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1D4-48AA-B46D-780FEC23C77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R$ 3571,00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1D4-48AA-B46D-780FEC23C77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R$ 2308,00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1D4-48AA-B46D-780FEC23C7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Annual</c:v>
              </c:pt>
              <c:pt idx="1">
                <c:v>Monthly</c:v>
              </c:pt>
              <c:pt idx="2">
                <c:v>Quarterly</c:v>
              </c:pt>
            </c:strLit>
          </c:cat>
          <c:val>
            <c:numLit>
              <c:formatCode>General</c:formatCode>
              <c:ptCount val="3"/>
              <c:pt idx="0">
                <c:v>1754</c:v>
              </c:pt>
              <c:pt idx="1">
                <c:v>3571</c:v>
              </c:pt>
              <c:pt idx="2">
                <c:v>2308</c:v>
              </c:pt>
            </c:numLit>
          </c:val>
          <c:extLst>
            <c:ext xmlns:c16="http://schemas.microsoft.com/office/drawing/2014/chart" uri="{C3380CC4-5D6E-409C-BE32-E72D297353CC}">
              <c16:uniqueId val="{00000000-2479-41E0-9BF1-7AB3648CB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6700552"/>
        <c:axId val="804652040"/>
      </c:barChart>
      <c:catAx>
        <c:axId val="76670055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652040"/>
        <c:crosses val="autoZero"/>
        <c:auto val="1"/>
        <c:lblAlgn val="ctr"/>
        <c:lblOffset val="100"/>
        <c:noMultiLvlLbl val="0"/>
      </c:catAx>
      <c:valAx>
        <c:axId val="804652040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766700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5608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Retenção de Clientes (Auto Renewal)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5608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2AE6B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156082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2AE6B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spPr>
            <a:solidFill>
              <a:srgbClr val="2AE6B1"/>
            </a:solidFill>
          </c:spPr>
          <c:dPt>
            <c:idx val="0"/>
            <c:bubble3D val="0"/>
            <c:spPr>
              <a:solidFill>
                <a:srgbClr val="15608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9D2-440B-801C-ED5357B138FE}"/>
              </c:ext>
            </c:extLst>
          </c:dPt>
          <c:dPt>
            <c:idx val="1"/>
            <c:bubble3D val="0"/>
            <c:spPr>
              <a:solidFill>
                <a:srgbClr val="2AE6B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9D2-440B-801C-ED5357B138FE}"/>
              </c:ext>
            </c:extLst>
          </c:dPt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147</c:v>
              </c:pt>
              <c:pt idx="1">
                <c:v>148</c:v>
              </c:pt>
            </c:numLit>
          </c:val>
          <c:extLst>
            <c:ext xmlns:c16="http://schemas.microsoft.com/office/drawing/2014/chart" uri="{C3380CC4-5D6E-409C-BE32-E72D297353CC}">
              <c16:uniqueId val="{00000004-F9D2-440B-801C-ED5357B13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5608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Desempenho dos Serviços Extras (EA Play e Minecraft)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5608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15608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2AE6B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R$ 2940,00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Soma de EA Play Season Pass
Price</c:v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AE6B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4202-4F57-BEFC-33F2CFD546D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R$ 2940,00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4202-4F57-BEFC-33F2CFD546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2940</c:v>
              </c:pt>
            </c:numLit>
          </c:val>
          <c:extLst>
            <c:ext xmlns:c16="http://schemas.microsoft.com/office/drawing/2014/chart" uri="{C3380CC4-5D6E-409C-BE32-E72D297353CC}">
              <c16:uniqueId val="{00000000-2FD9-4FB6-AFC1-626EFED802C4}"/>
            </c:ext>
          </c:extLst>
        </c:ser>
        <c:ser>
          <c:idx val="1"/>
          <c:order val="1"/>
          <c:tx>
            <c:v>Soma de Minecraft Season Pass Price</c:v>
          </c:tx>
          <c:spPr>
            <a:solidFill>
              <a:srgbClr val="15608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R$ 3880,00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0A7F-4573-BA87-236F5E746A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3880</c:v>
              </c:pt>
            </c:numLit>
          </c:val>
          <c:extLst>
            <c:ext xmlns:c16="http://schemas.microsoft.com/office/drawing/2014/chart" uri="{C3380CC4-5D6E-409C-BE32-E72D297353CC}">
              <c16:uniqueId val="{00000001-2FD9-4FB6-AFC1-626EFED802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14139144"/>
        <c:axId val="514141192"/>
      </c:barChart>
      <c:catAx>
        <c:axId val="514139144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514141192"/>
        <c:crosses val="autoZero"/>
        <c:auto val="1"/>
        <c:lblAlgn val="ctr"/>
        <c:lblOffset val="100"/>
        <c:noMultiLvlLbl val="0"/>
      </c:catAx>
      <c:valAx>
        <c:axId val="514141192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514139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5608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Valor Total de Descontos Aplicados Mensalmente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5608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5</c:v>
              </c:pt>
              <c:pt idx="1">
                <c:v>13</c:v>
              </c:pt>
              <c:pt idx="2">
                <c:v>204</c:v>
              </c:pt>
              <c:pt idx="3">
                <c:v>218</c:v>
              </c:pt>
              <c:pt idx="4">
                <c:v>228</c:v>
              </c:pt>
              <c:pt idx="5">
                <c:v>230</c:v>
              </c:pt>
              <c:pt idx="6">
                <c:v>221</c:v>
              </c:pt>
              <c:pt idx="7">
                <c:v>218</c:v>
              </c:pt>
              <c:pt idx="8">
                <c:v>220</c:v>
              </c:pt>
              <c:pt idx="9">
                <c:v>233</c:v>
              </c:pt>
              <c:pt idx="10">
                <c:v>216</c:v>
              </c:pt>
              <c:pt idx="11">
                <c:v>116</c:v>
              </c:pt>
            </c:numLit>
          </c:val>
          <c:extLst>
            <c:ext xmlns:c16="http://schemas.microsoft.com/office/drawing/2014/chart" uri="{C3380CC4-5D6E-409C-BE32-E72D297353CC}">
              <c16:uniqueId val="{00000000-6287-4AA9-A4D1-D80059252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6179592"/>
        <c:axId val="956507656"/>
      </c:barChart>
      <c:catAx>
        <c:axId val="9061795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507656"/>
        <c:crosses val="autoZero"/>
        <c:auto val="1"/>
        <c:lblAlgn val="ctr"/>
        <c:lblOffset val="100"/>
        <c:noMultiLvlLbl val="0"/>
      </c:catAx>
      <c:valAx>
        <c:axId val="956507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179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19050</xdr:rowOff>
    </xdr:from>
    <xdr:to>
      <xdr:col>6</xdr:col>
      <xdr:colOff>190500</xdr:colOff>
      <xdr:row>31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204C728-AF44-51BB-3027-A61B717FB0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8</xdr:row>
      <xdr:rowOff>171450</xdr:rowOff>
    </xdr:from>
    <xdr:to>
      <xdr:col>14</xdr:col>
      <xdr:colOff>457200</xdr:colOff>
      <xdr:row>22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622B5AA-2D1C-4BE0-8DF5-717A722E3B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581025</xdr:colOff>
      <xdr:row>23</xdr:row>
      <xdr:rowOff>47625</xdr:rowOff>
    </xdr:from>
    <xdr:to>
      <xdr:col>9</xdr:col>
      <xdr:colOff>600075</xdr:colOff>
      <xdr:row>37</xdr:row>
      <xdr:rowOff>123825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28CCDBC-62D8-4635-8047-830B05539B61}"/>
            </a:ext>
            <a:ext uri="{147F2762-F138-4A5C-976F-8EAC2B608ADB}">
              <a16:predDERef xmlns:a16="http://schemas.microsoft.com/office/drawing/2014/main" pred="{6622B5AA-2D1C-4BE0-8DF5-717A722E3B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228600</xdr:colOff>
      <xdr:row>23</xdr:row>
      <xdr:rowOff>47625</xdr:rowOff>
    </xdr:from>
    <xdr:to>
      <xdr:col>14</xdr:col>
      <xdr:colOff>466725</xdr:colOff>
      <xdr:row>37</xdr:row>
      <xdr:rowOff>142875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93A0C8D-8845-4040-8493-A49B07542607}"/>
            </a:ext>
            <a:ext uri="{147F2762-F138-4A5C-976F-8EAC2B608ADB}">
              <a16:predDERef xmlns:a16="http://schemas.microsoft.com/office/drawing/2014/main" pred="{F28CCDBC-62D8-4635-8047-830B05539B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342900</xdr:colOff>
      <xdr:row>38</xdr:row>
      <xdr:rowOff>171450</xdr:rowOff>
    </xdr:from>
    <xdr:to>
      <xdr:col>14</xdr:col>
      <xdr:colOff>447675</xdr:colOff>
      <xdr:row>53</xdr:row>
      <xdr:rowOff>57150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CA74F6A-3BDA-45A2-9E09-4ED48B3EB2B9}"/>
            </a:ext>
            <a:ext uri="{147F2762-F138-4A5C-976F-8EAC2B608ADB}">
              <a16:predDERef xmlns:a16="http://schemas.microsoft.com/office/drawing/2014/main" pred="{193A0C8D-8845-4040-8493-A49B075426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571500</xdr:colOff>
      <xdr:row>38</xdr:row>
      <xdr:rowOff>171450</xdr:rowOff>
    </xdr:from>
    <xdr:to>
      <xdr:col>7</xdr:col>
      <xdr:colOff>114300</xdr:colOff>
      <xdr:row>53</xdr:row>
      <xdr:rowOff>57150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8CB91D4-EDA9-417A-B428-6213C00A3557}"/>
            </a:ext>
            <a:ext uri="{147F2762-F138-4A5C-976F-8EAC2B608ADB}">
              <a16:predDERef xmlns:a16="http://schemas.microsoft.com/office/drawing/2014/main" pred="{5CA74F6A-3BDA-45A2-9E09-4ED48B3EB2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542925</xdr:colOff>
      <xdr:row>2</xdr:row>
      <xdr:rowOff>38100</xdr:rowOff>
    </xdr:from>
    <xdr:to>
      <xdr:col>8</xdr:col>
      <xdr:colOff>504825</xdr:colOff>
      <xdr:row>7</xdr:row>
      <xdr:rowOff>142875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90497D3D-63C7-B097-252F-1F550AE022CE}"/>
            </a:ext>
            <a:ext uri="{147F2762-F138-4A5C-976F-8EAC2B608ADB}">
              <a16:predDERef xmlns:a16="http://schemas.microsoft.com/office/drawing/2014/main" pred="{A8CB91D4-EDA9-417A-B428-6213C00A3557}"/>
            </a:ext>
          </a:extLst>
        </xdr:cNvPr>
        <xdr:cNvSpPr/>
      </xdr:nvSpPr>
      <xdr:spPr>
        <a:xfrm>
          <a:off x="5591175" y="723900"/>
          <a:ext cx="1790700" cy="981075"/>
        </a:xfrm>
        <a:prstGeom prst="rect">
          <a:avLst/>
        </a:prstGeom>
        <a:solidFill>
          <a:schemeClr val="bg1"/>
        </a:solidFill>
        <a:ln w="12700">
          <a:solidFill>
            <a:srgbClr val="E0E0E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400" b="1">
              <a:solidFill>
                <a:schemeClr val="accent1"/>
              </a:solidFill>
              <a:latin typeface="+mn-lt"/>
              <a:ea typeface="+mn-lt"/>
              <a:cs typeface="+mn-lt"/>
            </a:rPr>
            <a:t>Receita Total</a:t>
          </a:r>
          <a:endParaRPr lang="en-US" sz="1400" b="1" i="0" u="none" strike="noStrike">
            <a:solidFill>
              <a:schemeClr val="accent1"/>
            </a:solidFill>
            <a:latin typeface="+mn-lt"/>
            <a:ea typeface="+mn-lt"/>
            <a:cs typeface="+mn-lt"/>
          </a:endParaRPr>
        </a:p>
        <a:p>
          <a:pPr marL="0" indent="0" algn="ctr"/>
          <a:endParaRPr lang="en-US" sz="1400" b="1" strike="noStrike">
            <a:solidFill>
              <a:schemeClr val="accen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5</xdr:col>
      <xdr:colOff>561975</xdr:colOff>
      <xdr:row>5</xdr:row>
      <xdr:rowOff>9525</xdr:rowOff>
    </xdr:from>
    <xdr:to>
      <xdr:col>8</xdr:col>
      <xdr:colOff>476250</xdr:colOff>
      <xdr:row>7</xdr:row>
      <xdr:rowOff>19050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F4A15DB7-A869-B9D9-36E8-AE748BD05174}"/>
            </a:ext>
            <a:ext uri="{147F2762-F138-4A5C-976F-8EAC2B608ADB}">
              <a16:predDERef xmlns:a16="http://schemas.microsoft.com/office/drawing/2014/main" pred="{90497D3D-63C7-B097-252F-1F550AE022CE}"/>
            </a:ext>
          </a:extLst>
        </xdr:cNvPr>
        <xdr:cNvSpPr/>
      </xdr:nvSpPr>
      <xdr:spPr>
        <a:xfrm>
          <a:off x="5610225" y="1028700"/>
          <a:ext cx="1743075" cy="552450"/>
        </a:xfrm>
        <a:prstGeom prst="rect">
          <a:avLst/>
        </a:prstGeom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2800" b="1" i="0" u="none" strike="noStrike">
              <a:solidFill>
                <a:schemeClr val="accent1"/>
              </a:solidFill>
              <a:latin typeface="Aptos Narrow" panose="020B0004020202020204" pitchFamily="34" charset="0"/>
            </a:rPr>
            <a:t>R$7614,00</a:t>
          </a:r>
        </a:p>
      </xdr:txBody>
    </xdr:sp>
    <xdr:clientData/>
  </xdr:twoCellAnchor>
  <xdr:twoCellAnchor>
    <xdr:from>
      <xdr:col>9</xdr:col>
      <xdr:colOff>142875</xdr:colOff>
      <xdr:row>2</xdr:row>
      <xdr:rowOff>66675</xdr:rowOff>
    </xdr:from>
    <xdr:to>
      <xdr:col>11</xdr:col>
      <xdr:colOff>409575</xdr:colOff>
      <xdr:row>7</xdr:row>
      <xdr:rowOff>161925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AC10A5D7-4225-4821-9D10-C133741B60DF}"/>
            </a:ext>
            <a:ext uri="{147F2762-F138-4A5C-976F-8EAC2B608ADB}">
              <a16:predDERef xmlns:a16="http://schemas.microsoft.com/office/drawing/2014/main" pred="{F4A15DB7-A869-B9D9-36E8-AE748BD05174}"/>
            </a:ext>
          </a:extLst>
        </xdr:cNvPr>
        <xdr:cNvSpPr/>
      </xdr:nvSpPr>
      <xdr:spPr>
        <a:xfrm>
          <a:off x="7629525" y="752475"/>
          <a:ext cx="1485900" cy="971550"/>
        </a:xfrm>
        <a:prstGeom prst="rect">
          <a:avLst/>
        </a:prstGeom>
        <a:solidFill>
          <a:schemeClr val="bg1"/>
        </a:solidFill>
        <a:ln w="12700">
          <a:solidFill>
            <a:srgbClr val="E0E0E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>
              <a:solidFill>
                <a:schemeClr val="accent1"/>
              </a:solidFill>
              <a:latin typeface="+mn-lt"/>
              <a:ea typeface="+mn-lt"/>
              <a:cs typeface="+mn-lt"/>
            </a:rPr>
            <a:t>Total de Clientes</a:t>
          </a:r>
        </a:p>
      </xdr:txBody>
    </xdr:sp>
    <xdr:clientData/>
  </xdr:twoCellAnchor>
  <xdr:twoCellAnchor>
    <xdr:from>
      <xdr:col>9</xdr:col>
      <xdr:colOff>514350</xdr:colOff>
      <xdr:row>5</xdr:row>
      <xdr:rowOff>9525</xdr:rowOff>
    </xdr:from>
    <xdr:to>
      <xdr:col>11</xdr:col>
      <xdr:colOff>180975</xdr:colOff>
      <xdr:row>6</xdr:row>
      <xdr:rowOff>409575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502C2295-E12E-4CC3-AEF3-AC9EDC8DAC79}"/>
            </a:ext>
            <a:ext uri="{147F2762-F138-4A5C-976F-8EAC2B608ADB}">
              <a16:predDERef xmlns:a16="http://schemas.microsoft.com/office/drawing/2014/main" pred="{AC10A5D7-4225-4821-9D10-C133741B60DF}"/>
            </a:ext>
          </a:extLst>
        </xdr:cNvPr>
        <xdr:cNvSpPr/>
      </xdr:nvSpPr>
      <xdr:spPr>
        <a:xfrm>
          <a:off x="8001000" y="1028700"/>
          <a:ext cx="885825" cy="523875"/>
        </a:xfrm>
        <a:prstGeom prst="rect">
          <a:avLst/>
        </a:prstGeom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800" b="1" i="0" u="none" strike="noStrike">
              <a:solidFill>
                <a:schemeClr val="accent1"/>
              </a:solidFill>
              <a:latin typeface="Aptos Narrow" panose="020B0004020202020204" pitchFamily="34" charset="0"/>
            </a:rPr>
            <a:t>294</a:t>
          </a:r>
        </a:p>
      </xdr:txBody>
    </xdr:sp>
    <xdr:clientData/>
  </xdr:twoCellAnchor>
  <xdr:twoCellAnchor>
    <xdr:from>
      <xdr:col>12</xdr:col>
      <xdr:colOff>200025</xdr:colOff>
      <xdr:row>2</xdr:row>
      <xdr:rowOff>66675</xdr:rowOff>
    </xdr:from>
    <xdr:to>
      <xdr:col>14</xdr:col>
      <xdr:colOff>447675</xdr:colOff>
      <xdr:row>7</xdr:row>
      <xdr:rowOff>142875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FE49A442-83AF-4DA3-BA95-122FF6C3A433}"/>
            </a:ext>
            <a:ext uri="{147F2762-F138-4A5C-976F-8EAC2B608ADB}">
              <a16:predDERef xmlns:a16="http://schemas.microsoft.com/office/drawing/2014/main" pred="{502C2295-E12E-4CC3-AEF3-AC9EDC8DAC79}"/>
            </a:ext>
          </a:extLst>
        </xdr:cNvPr>
        <xdr:cNvSpPr/>
      </xdr:nvSpPr>
      <xdr:spPr>
        <a:xfrm>
          <a:off x="9344025" y="752475"/>
          <a:ext cx="1466850" cy="952500"/>
        </a:xfrm>
        <a:prstGeom prst="rect">
          <a:avLst/>
        </a:prstGeom>
        <a:solidFill>
          <a:schemeClr val="bg1"/>
        </a:solidFill>
        <a:ln w="12700">
          <a:solidFill>
            <a:srgbClr val="E0E0E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 i="0" u="none" strike="noStrike">
              <a:solidFill>
                <a:schemeClr val="accent1"/>
              </a:solidFill>
              <a:latin typeface="Aptos Narrow" panose="020B0004020202020204" pitchFamily="34" charset="0"/>
            </a:rPr>
            <a:t>Desconto Médio</a:t>
          </a:r>
        </a:p>
      </xdr:txBody>
    </xdr:sp>
    <xdr:clientData/>
  </xdr:twoCellAnchor>
  <xdr:twoCellAnchor>
    <xdr:from>
      <xdr:col>12</xdr:col>
      <xdr:colOff>333375</xdr:colOff>
      <xdr:row>5</xdr:row>
      <xdr:rowOff>38100</xdr:rowOff>
    </xdr:from>
    <xdr:to>
      <xdr:col>14</xdr:col>
      <xdr:colOff>352425</xdr:colOff>
      <xdr:row>7</xdr:row>
      <xdr:rowOff>19050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934AFD2F-1253-4516-9FA4-820822D5EF47}"/>
            </a:ext>
            <a:ext uri="{147F2762-F138-4A5C-976F-8EAC2B608ADB}">
              <a16:predDERef xmlns:a16="http://schemas.microsoft.com/office/drawing/2014/main" pred="{FE49A442-83AF-4DA3-BA95-122FF6C3A433}"/>
            </a:ext>
          </a:extLst>
        </xdr:cNvPr>
        <xdr:cNvSpPr/>
      </xdr:nvSpPr>
      <xdr:spPr>
        <a:xfrm>
          <a:off x="9477375" y="1057275"/>
          <a:ext cx="1238250" cy="523875"/>
        </a:xfrm>
        <a:prstGeom prst="rect">
          <a:avLst/>
        </a:prstGeom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800" b="1" i="0" u="none" strike="noStrike">
              <a:solidFill>
                <a:schemeClr val="accent1"/>
              </a:solidFill>
              <a:latin typeface="Aptos Narrow" panose="020B0004020202020204" pitchFamily="34" charset="0"/>
            </a:rPr>
            <a:t>R$7,18</a:t>
          </a:r>
        </a:p>
      </xdr:txBody>
    </xdr:sp>
    <xdr:clientData/>
  </xdr:twoCellAnchor>
  <xdr:twoCellAnchor>
    <xdr:from>
      <xdr:col>0</xdr:col>
      <xdr:colOff>600075</xdr:colOff>
      <xdr:row>2</xdr:row>
      <xdr:rowOff>38100</xdr:rowOff>
    </xdr:from>
    <xdr:to>
      <xdr:col>5</xdr:col>
      <xdr:colOff>333375</xdr:colOff>
      <xdr:row>7</xdr:row>
      <xdr:rowOff>142875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81CEA73C-FC5C-45AE-89E2-AC56BF07572B}"/>
            </a:ext>
            <a:ext uri="{147F2762-F138-4A5C-976F-8EAC2B608ADB}">
              <a16:predDERef xmlns:a16="http://schemas.microsoft.com/office/drawing/2014/main" pred="{934AFD2F-1253-4516-9FA4-820822D5EF47}"/>
            </a:ext>
          </a:extLst>
        </xdr:cNvPr>
        <xdr:cNvSpPr/>
      </xdr:nvSpPr>
      <xdr:spPr>
        <a:xfrm>
          <a:off x="600075" y="723900"/>
          <a:ext cx="4781550" cy="981075"/>
        </a:xfrm>
        <a:prstGeom prst="rect">
          <a:avLst/>
        </a:prstGeom>
        <a:solidFill>
          <a:schemeClr val="bg1"/>
        </a:solidFill>
        <a:ln w="12700">
          <a:solidFill>
            <a:srgbClr val="E0E0E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400" b="1">
              <a:solidFill>
                <a:schemeClr val="accent1"/>
              </a:solidFill>
              <a:latin typeface="+mn-lt"/>
              <a:ea typeface="+mn-lt"/>
              <a:cs typeface="+mn-lt"/>
            </a:rPr>
            <a:t>Dashboard de Venda</a:t>
          </a:r>
          <a:r>
            <a:rPr lang="en-US" sz="2400" b="1" i="0" u="none" strike="noStrike">
              <a:solidFill>
                <a:schemeClr val="accent1"/>
              </a:solidFill>
              <a:latin typeface="Aptos Narrow" panose="020B0004020202020204" pitchFamily="34" charset="0"/>
            </a:rPr>
            <a:t>s de Assinaturas</a:t>
          </a:r>
        </a:p>
        <a:p>
          <a:pPr marL="0" indent="0" algn="ctr"/>
          <a:endParaRPr lang="en-US" sz="2400" b="1">
            <a:solidFill>
              <a:schemeClr val="accen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666750</xdr:colOff>
      <xdr:row>5</xdr:row>
      <xdr:rowOff>85725</xdr:rowOff>
    </xdr:from>
    <xdr:to>
      <xdr:col>5</xdr:col>
      <xdr:colOff>161925</xdr:colOff>
      <xdr:row>7</xdr:row>
      <xdr:rowOff>95250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6066CC48-2920-4FED-AE77-C2E7C4A446E3}"/>
            </a:ext>
            <a:ext uri="{147F2762-F138-4A5C-976F-8EAC2B608ADB}">
              <a16:predDERef xmlns:a16="http://schemas.microsoft.com/office/drawing/2014/main" pred="{81CEA73C-FC5C-45AE-89E2-AC56BF07572B}"/>
            </a:ext>
          </a:extLst>
        </xdr:cNvPr>
        <xdr:cNvSpPr/>
      </xdr:nvSpPr>
      <xdr:spPr>
        <a:xfrm>
          <a:off x="666750" y="1104900"/>
          <a:ext cx="4543425" cy="552450"/>
        </a:xfrm>
        <a:prstGeom prst="rect">
          <a:avLst/>
        </a:prstGeom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000" b="1" i="0" u="none" strike="noStrike">
              <a:solidFill>
                <a:srgbClr val="2AE6B1"/>
              </a:solidFill>
              <a:latin typeface="Aptos Narrow" panose="020B0004020202020204" pitchFamily="34" charset="0"/>
            </a:rPr>
            <a:t>Análise de desempenho ao longo de 2024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2.639780324076" createdVersion="8" refreshedVersion="8" minRefreshableVersion="3" recordCount="295" xr:uid="{A0935FB4-5716-4D6F-9CB3-A40B8F04C21B}">
  <cacheSource type="worksheet">
    <worksheetSource name="Tabela1"/>
  </cacheSource>
  <cacheFields count="14">
    <cacheField name="Subscriber ID" numFmtId="0">
      <sharedItems containsSemiMixedTypes="0" containsString="0" containsNumber="1" containsInteger="1" minValue="3231" maxValue="3525" count="295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</sharedItems>
    </cacheField>
    <cacheField name="Name" numFmtId="0">
      <sharedItems/>
    </cacheField>
    <cacheField name="Plan" numFmtId="0">
      <sharedItems/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Month" numFmtId="44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</cacheFields>
  <extLst>
    <ext xmlns:x14="http://schemas.microsoft.com/office/spreadsheetml/2009/9/main" uri="{725AE2AE-9491-48be-B2B4-4EB974FC3084}">
      <x14:pivotCacheDefinition pivotCacheId="14044906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x v="0"/>
    <s v="João Silva"/>
    <s v="Ultimate"/>
    <d v="2024-01-01T00:00:00"/>
    <x v="0"/>
    <n v="15"/>
    <x v="0"/>
    <s v="Yes"/>
    <n v="30"/>
    <s v="Yes"/>
    <n v="20"/>
    <n v="5"/>
    <n v="60"/>
    <x v="0"/>
  </r>
  <r>
    <x v="1"/>
    <s v="Maria Oliveira"/>
    <s v="Core"/>
    <d v="2024-01-15T00:00:00"/>
    <x v="1"/>
    <n v="5"/>
    <x v="1"/>
    <s v="No"/>
    <s v="-"/>
    <s v="No"/>
    <n v="0"/>
    <n v="0"/>
    <n v="5"/>
    <x v="0"/>
  </r>
  <r>
    <x v="2"/>
    <s v="Lucas Fernandes"/>
    <s v="Standard"/>
    <d v="2024-02-10T00:00:00"/>
    <x v="0"/>
    <n v="10"/>
    <x v="2"/>
    <s v="No"/>
    <s v="-"/>
    <s v="Yes"/>
    <n v="20"/>
    <n v="10"/>
    <n v="20"/>
    <x v="1"/>
  </r>
  <r>
    <x v="3"/>
    <s v="Ana Souza"/>
    <s v="Ultimate"/>
    <d v="2024-02-20T00:00:00"/>
    <x v="1"/>
    <n v="15"/>
    <x v="0"/>
    <s v="Yes"/>
    <n v="30"/>
    <s v="Yes"/>
    <n v="20"/>
    <n v="3"/>
    <n v="62"/>
    <x v="1"/>
  </r>
  <r>
    <x v="4"/>
    <s v="Pedro Gonçalves"/>
    <s v="Core"/>
    <d v="2024-03-05T00:00:00"/>
    <x v="0"/>
    <n v="5"/>
    <x v="0"/>
    <s v="No"/>
    <s v="-"/>
    <s v="No"/>
    <n v="0"/>
    <n v="1"/>
    <n v="4"/>
    <x v="2"/>
  </r>
  <r>
    <x v="5"/>
    <s v="Felipe Costa"/>
    <s v="Standard"/>
    <d v="2024-03-02T00:00:00"/>
    <x v="1"/>
    <n v="10"/>
    <x v="0"/>
    <s v="No"/>
    <s v="-"/>
    <s v="Yes"/>
    <n v="20"/>
    <n v="2"/>
    <n v="28"/>
    <x v="2"/>
  </r>
  <r>
    <x v="6"/>
    <s v="Camila Ribeiro"/>
    <s v="Ultimate"/>
    <d v="2024-03-03T00:00:00"/>
    <x v="0"/>
    <n v="15"/>
    <x v="2"/>
    <s v="Yes"/>
    <n v="30"/>
    <s v="Yes"/>
    <n v="20"/>
    <n v="10"/>
    <n v="55"/>
    <x v="2"/>
  </r>
  <r>
    <x v="7"/>
    <s v="André Mendes"/>
    <s v="Core"/>
    <d v="2024-03-04T00:00:00"/>
    <x v="0"/>
    <n v="5"/>
    <x v="1"/>
    <s v="No"/>
    <s v="-"/>
    <s v="No"/>
    <n v="0"/>
    <n v="0"/>
    <n v="5"/>
    <x v="2"/>
  </r>
  <r>
    <x v="8"/>
    <s v="Sofia Almeida"/>
    <s v="Ultimate"/>
    <d v="2024-03-05T00:00:00"/>
    <x v="1"/>
    <n v="15"/>
    <x v="0"/>
    <s v="Yes"/>
    <n v="30"/>
    <s v="Yes"/>
    <n v="20"/>
    <n v="5"/>
    <n v="60"/>
    <x v="2"/>
  </r>
  <r>
    <x v="9"/>
    <s v="Bruno Martins"/>
    <s v="Standard"/>
    <d v="2024-03-06T00:00:00"/>
    <x v="0"/>
    <n v="10"/>
    <x v="2"/>
    <s v="No"/>
    <s v="-"/>
    <s v="Yes"/>
    <n v="20"/>
    <n v="15"/>
    <n v="15"/>
    <x v="2"/>
  </r>
  <r>
    <x v="10"/>
    <s v="Rita Castro"/>
    <s v="Core"/>
    <d v="2024-03-07T00:00:00"/>
    <x v="1"/>
    <n v="5"/>
    <x v="0"/>
    <s v="No"/>
    <s v="-"/>
    <s v="No"/>
    <n v="0"/>
    <n v="1"/>
    <n v="4"/>
    <x v="2"/>
  </r>
  <r>
    <x v="11"/>
    <s v="Marco Túlio"/>
    <s v="Ultimate"/>
    <d v="2024-03-08T00:00:00"/>
    <x v="0"/>
    <n v="15"/>
    <x v="1"/>
    <s v="Yes"/>
    <n v="30"/>
    <s v="Yes"/>
    <n v="20"/>
    <n v="20"/>
    <n v="45"/>
    <x v="2"/>
  </r>
  <r>
    <x v="12"/>
    <s v="Lívia Silveira"/>
    <s v="Standard"/>
    <d v="2024-03-09T00:00:00"/>
    <x v="1"/>
    <n v="10"/>
    <x v="0"/>
    <s v="No"/>
    <s v="-"/>
    <s v="Yes"/>
    <n v="20"/>
    <n v="10"/>
    <n v="20"/>
    <x v="2"/>
  </r>
  <r>
    <x v="13"/>
    <s v="Diogo Sousa"/>
    <s v="Core"/>
    <d v="2024-03-10T00:00:00"/>
    <x v="0"/>
    <n v="5"/>
    <x v="2"/>
    <s v="No"/>
    <s v="-"/>
    <s v="No"/>
    <n v="0"/>
    <n v="0"/>
    <n v="5"/>
    <x v="2"/>
  </r>
  <r>
    <x v="14"/>
    <s v="Fernanda Lima"/>
    <s v="Ultimate"/>
    <d v="2024-03-11T00:00:00"/>
    <x v="1"/>
    <n v="15"/>
    <x v="0"/>
    <s v="Yes"/>
    <n v="30"/>
    <s v="Yes"/>
    <n v="20"/>
    <n v="8"/>
    <n v="57"/>
    <x v="2"/>
  </r>
  <r>
    <x v="15"/>
    <s v="Caio Pereira"/>
    <s v="Standard"/>
    <d v="2024-03-12T00:00:00"/>
    <x v="0"/>
    <n v="10"/>
    <x v="1"/>
    <s v="No"/>
    <s v="-"/>
    <s v="Yes"/>
    <n v="20"/>
    <n v="12"/>
    <n v="18"/>
    <x v="2"/>
  </r>
  <r>
    <x v="16"/>
    <s v="Beatriz Gomes"/>
    <s v="Core"/>
    <d v="2024-03-13T00:00:00"/>
    <x v="1"/>
    <n v="5"/>
    <x v="0"/>
    <s v="No"/>
    <s v="-"/>
    <s v="No"/>
    <n v="0"/>
    <n v="2"/>
    <n v="3"/>
    <x v="2"/>
  </r>
  <r>
    <x v="17"/>
    <s v="Cesar Oliveira"/>
    <s v="Ultimate"/>
    <d v="2024-03-14T00:00:00"/>
    <x v="0"/>
    <n v="15"/>
    <x v="2"/>
    <s v="Yes"/>
    <n v="30"/>
    <s v="Yes"/>
    <n v="20"/>
    <n v="7"/>
    <n v="58"/>
    <x v="2"/>
  </r>
  <r>
    <x v="18"/>
    <s v="Débora Machado"/>
    <s v="Standard"/>
    <d v="2024-03-15T00:00:00"/>
    <x v="1"/>
    <n v="10"/>
    <x v="0"/>
    <s v="No"/>
    <s v="-"/>
    <s v="Yes"/>
    <n v="20"/>
    <n v="5"/>
    <n v="25"/>
    <x v="2"/>
  </r>
  <r>
    <x v="19"/>
    <s v="Eduardo Vargas"/>
    <s v="Core"/>
    <d v="2024-03-16T00:00:00"/>
    <x v="0"/>
    <n v="5"/>
    <x v="1"/>
    <s v="No"/>
    <s v="-"/>
    <s v="No"/>
    <n v="0"/>
    <n v="0"/>
    <n v="5"/>
    <x v="2"/>
  </r>
  <r>
    <x v="20"/>
    <s v="Gabriela Santos"/>
    <s v="Ultimate"/>
    <d v="2024-03-17T00:00:00"/>
    <x v="1"/>
    <n v="15"/>
    <x v="0"/>
    <s v="Yes"/>
    <n v="30"/>
    <s v="Yes"/>
    <n v="20"/>
    <n v="3"/>
    <n v="62"/>
    <x v="2"/>
  </r>
  <r>
    <x v="21"/>
    <s v="Henrique Dias"/>
    <s v="Standard"/>
    <d v="2024-03-18T00:00:00"/>
    <x v="0"/>
    <n v="10"/>
    <x v="2"/>
    <s v="No"/>
    <s v="-"/>
    <s v="Yes"/>
    <n v="20"/>
    <n v="15"/>
    <n v="15"/>
    <x v="2"/>
  </r>
  <r>
    <x v="22"/>
    <s v="Isabela Moreira"/>
    <s v="Core"/>
    <d v="2024-03-19T00:00:00"/>
    <x v="1"/>
    <n v="5"/>
    <x v="0"/>
    <s v="No"/>
    <s v="-"/>
    <s v="No"/>
    <n v="0"/>
    <n v="1"/>
    <n v="4"/>
    <x v="2"/>
  </r>
  <r>
    <x v="23"/>
    <s v="Joaquim Barbosa"/>
    <s v="Ultimate"/>
    <d v="2024-03-20T00:00:00"/>
    <x v="0"/>
    <n v="15"/>
    <x v="1"/>
    <s v="Yes"/>
    <n v="30"/>
    <s v="Yes"/>
    <n v="20"/>
    <n v="20"/>
    <n v="45"/>
    <x v="2"/>
  </r>
  <r>
    <x v="24"/>
    <s v="Lara Rocha"/>
    <s v="Standard"/>
    <d v="2024-03-21T00:00:00"/>
    <x v="1"/>
    <n v="10"/>
    <x v="0"/>
    <s v="No"/>
    <s v="-"/>
    <s v="Yes"/>
    <n v="20"/>
    <n v="10"/>
    <n v="20"/>
    <x v="2"/>
  </r>
  <r>
    <x v="25"/>
    <s v="Matheus Silva"/>
    <s v="Core"/>
    <d v="2024-03-22T00:00:00"/>
    <x v="0"/>
    <n v="5"/>
    <x v="2"/>
    <s v="No"/>
    <s v="-"/>
    <s v="No"/>
    <n v="0"/>
    <n v="0"/>
    <n v="5"/>
    <x v="2"/>
  </r>
  <r>
    <x v="26"/>
    <s v="Nicole Costa"/>
    <s v="Ultimate"/>
    <d v="2024-03-23T00:00:00"/>
    <x v="1"/>
    <n v="15"/>
    <x v="0"/>
    <s v="Yes"/>
    <n v="30"/>
    <s v="Yes"/>
    <n v="20"/>
    <n v="5"/>
    <n v="60"/>
    <x v="2"/>
  </r>
  <r>
    <x v="27"/>
    <s v="Otávio Mendonça"/>
    <s v="Standard"/>
    <d v="2024-03-24T00:00:00"/>
    <x v="0"/>
    <n v="10"/>
    <x v="1"/>
    <s v="No"/>
    <s v="-"/>
    <s v="Yes"/>
    <n v="20"/>
    <n v="15"/>
    <n v="15"/>
    <x v="2"/>
  </r>
  <r>
    <x v="28"/>
    <s v="Paula Ferreira"/>
    <s v="Core"/>
    <d v="2024-03-25T00:00:00"/>
    <x v="1"/>
    <n v="5"/>
    <x v="0"/>
    <s v="No"/>
    <s v="-"/>
    <s v="No"/>
    <n v="0"/>
    <n v="1"/>
    <n v="4"/>
    <x v="2"/>
  </r>
  <r>
    <x v="29"/>
    <s v="Raquel Alves"/>
    <s v="Ultimate"/>
    <d v="2024-03-26T00:00:00"/>
    <x v="0"/>
    <n v="15"/>
    <x v="2"/>
    <s v="Yes"/>
    <n v="30"/>
    <s v="Yes"/>
    <n v="20"/>
    <n v="7"/>
    <n v="58"/>
    <x v="2"/>
  </r>
  <r>
    <x v="30"/>
    <s v="Samuel Pires"/>
    <s v="Standard"/>
    <d v="2024-03-27T00:00:00"/>
    <x v="1"/>
    <n v="10"/>
    <x v="0"/>
    <s v="No"/>
    <s v="-"/>
    <s v="Yes"/>
    <n v="20"/>
    <n v="10"/>
    <n v="20"/>
    <x v="2"/>
  </r>
  <r>
    <x v="31"/>
    <s v="Tânia Barros"/>
    <s v="Core"/>
    <d v="2024-03-28T00:00:00"/>
    <x v="0"/>
    <n v="5"/>
    <x v="1"/>
    <s v="No"/>
    <s v="-"/>
    <s v="No"/>
    <n v="0"/>
    <n v="0"/>
    <n v="5"/>
    <x v="2"/>
  </r>
  <r>
    <x v="32"/>
    <s v="Vinicius Lima"/>
    <s v="Ultimate"/>
    <d v="2024-03-29T00:00:00"/>
    <x v="1"/>
    <n v="15"/>
    <x v="0"/>
    <s v="Yes"/>
    <n v="30"/>
    <s v="Yes"/>
    <n v="20"/>
    <n v="3"/>
    <n v="62"/>
    <x v="2"/>
  </r>
  <r>
    <x v="33"/>
    <s v="Yasmin Teixeira"/>
    <s v="Standard"/>
    <d v="2024-03-30T00:00:00"/>
    <x v="0"/>
    <n v="10"/>
    <x v="2"/>
    <s v="No"/>
    <s v="-"/>
    <s v="Yes"/>
    <n v="20"/>
    <n v="15"/>
    <n v="15"/>
    <x v="2"/>
  </r>
  <r>
    <x v="34"/>
    <s v="Zé Carlos"/>
    <s v="Core"/>
    <d v="2024-03-31T00:00:00"/>
    <x v="1"/>
    <n v="5"/>
    <x v="0"/>
    <s v="No"/>
    <s v="-"/>
    <s v="No"/>
    <n v="0"/>
    <n v="1"/>
    <n v="4"/>
    <x v="2"/>
  </r>
  <r>
    <x v="35"/>
    <s v="Amanda Nogueira"/>
    <s v="Core"/>
    <d v="2024-04-01T00:00:00"/>
    <x v="0"/>
    <n v="5"/>
    <x v="0"/>
    <s v="No"/>
    <s v="-"/>
    <s v="No"/>
    <n v="0"/>
    <n v="0"/>
    <n v="5"/>
    <x v="3"/>
  </r>
  <r>
    <x v="36"/>
    <s v="Bruno Cavalheiro"/>
    <s v="Ultimate"/>
    <d v="2024-04-02T00:00:00"/>
    <x v="1"/>
    <n v="15"/>
    <x v="2"/>
    <s v="Yes"/>
    <n v="30"/>
    <s v="Yes"/>
    <n v="20"/>
    <n v="7"/>
    <n v="58"/>
    <x v="3"/>
  </r>
  <r>
    <x v="37"/>
    <s v="Carla Dias"/>
    <s v="Standard"/>
    <d v="2024-04-03T00:00:00"/>
    <x v="0"/>
    <n v="10"/>
    <x v="1"/>
    <s v="No"/>
    <s v="-"/>
    <s v="Yes"/>
    <n v="20"/>
    <n v="10"/>
    <n v="20"/>
    <x v="3"/>
  </r>
  <r>
    <x v="38"/>
    <s v="Diego Fontes"/>
    <s v="Core"/>
    <d v="2024-04-04T00:00:00"/>
    <x v="1"/>
    <n v="5"/>
    <x v="2"/>
    <s v="No"/>
    <s v="-"/>
    <s v="No"/>
    <n v="0"/>
    <n v="1"/>
    <n v="4"/>
    <x v="3"/>
  </r>
  <r>
    <x v="39"/>
    <s v="Eunice Lima"/>
    <s v="Ultimate"/>
    <d v="2024-04-05T00:00:00"/>
    <x v="0"/>
    <n v="15"/>
    <x v="0"/>
    <s v="Yes"/>
    <n v="30"/>
    <s v="Yes"/>
    <n v="20"/>
    <n v="15"/>
    <n v="50"/>
    <x v="3"/>
  </r>
  <r>
    <x v="40"/>
    <s v="Fábio Martins"/>
    <s v="Standard"/>
    <d v="2024-04-06T00:00:00"/>
    <x v="1"/>
    <n v="10"/>
    <x v="0"/>
    <s v="No"/>
    <s v="-"/>
    <s v="Yes"/>
    <n v="20"/>
    <n v="5"/>
    <n v="25"/>
    <x v="3"/>
  </r>
  <r>
    <x v="41"/>
    <s v="Gisele Araújo"/>
    <s v="Core"/>
    <d v="2024-04-07T00:00:00"/>
    <x v="0"/>
    <n v="5"/>
    <x v="1"/>
    <s v="No"/>
    <s v="-"/>
    <s v="No"/>
    <n v="0"/>
    <n v="0"/>
    <n v="5"/>
    <x v="3"/>
  </r>
  <r>
    <x v="42"/>
    <s v="Hélio Castro"/>
    <s v="Ultimate"/>
    <d v="2024-04-08T00:00:00"/>
    <x v="1"/>
    <n v="15"/>
    <x v="2"/>
    <s v="Yes"/>
    <n v="30"/>
    <s v="Yes"/>
    <n v="20"/>
    <n v="20"/>
    <n v="45"/>
    <x v="3"/>
  </r>
  <r>
    <x v="43"/>
    <s v="Ingrid Menezes"/>
    <s v="Standard"/>
    <d v="2024-04-09T00:00:00"/>
    <x v="0"/>
    <n v="10"/>
    <x v="2"/>
    <s v="No"/>
    <s v="-"/>
    <s v="Yes"/>
    <n v="20"/>
    <n v="12"/>
    <n v="18"/>
    <x v="3"/>
  </r>
  <r>
    <x v="44"/>
    <s v="Jorge Baptista"/>
    <s v="Core"/>
    <d v="2024-04-10T00:00:00"/>
    <x v="1"/>
    <n v="5"/>
    <x v="0"/>
    <s v="No"/>
    <s v="-"/>
    <s v="No"/>
    <n v="0"/>
    <n v="2"/>
    <n v="3"/>
    <x v="3"/>
  </r>
  <r>
    <x v="45"/>
    <s v="Kléber Oliveira"/>
    <s v="Ultimate"/>
    <d v="2024-04-11T00:00:00"/>
    <x v="0"/>
    <n v="15"/>
    <x v="1"/>
    <s v="Yes"/>
    <n v="30"/>
    <s v="Yes"/>
    <n v="20"/>
    <n v="5"/>
    <n v="60"/>
    <x v="3"/>
  </r>
  <r>
    <x v="46"/>
    <s v="Luciana Freitas"/>
    <s v="Standard"/>
    <d v="2024-04-12T00:00:00"/>
    <x v="1"/>
    <n v="10"/>
    <x v="0"/>
    <s v="No"/>
    <s v="-"/>
    <s v="Yes"/>
    <n v="20"/>
    <n v="10"/>
    <n v="20"/>
    <x v="3"/>
  </r>
  <r>
    <x v="47"/>
    <s v="Márcia Eller"/>
    <s v="Core"/>
    <d v="2024-04-13T00:00:00"/>
    <x v="0"/>
    <n v="5"/>
    <x v="2"/>
    <s v="No"/>
    <s v="-"/>
    <s v="No"/>
    <n v="0"/>
    <n v="0"/>
    <n v="5"/>
    <x v="3"/>
  </r>
  <r>
    <x v="48"/>
    <s v="Nilo Peçanha"/>
    <s v="Ultimate"/>
    <d v="2024-04-14T00:00:00"/>
    <x v="1"/>
    <n v="15"/>
    <x v="0"/>
    <s v="Yes"/>
    <n v="30"/>
    <s v="Yes"/>
    <n v="20"/>
    <n v="3"/>
    <n v="62"/>
    <x v="3"/>
  </r>
  <r>
    <x v="49"/>
    <s v="Oscar Neves"/>
    <s v="Standard"/>
    <d v="2024-04-15T00:00:00"/>
    <x v="0"/>
    <n v="10"/>
    <x v="1"/>
    <s v="No"/>
    <s v="-"/>
    <s v="Yes"/>
    <n v="20"/>
    <n v="15"/>
    <n v="15"/>
    <x v="3"/>
  </r>
  <r>
    <x v="50"/>
    <s v="Patrícia Soares"/>
    <s v="Core"/>
    <d v="2024-04-16T00:00:00"/>
    <x v="1"/>
    <n v="5"/>
    <x v="0"/>
    <s v="No"/>
    <s v="-"/>
    <s v="No"/>
    <n v="0"/>
    <n v="1"/>
    <n v="4"/>
    <x v="3"/>
  </r>
  <r>
    <x v="51"/>
    <s v="Quirino Gonçalves"/>
    <s v="Ultimate"/>
    <d v="2024-04-17T00:00:00"/>
    <x v="0"/>
    <n v="15"/>
    <x v="2"/>
    <s v="Yes"/>
    <n v="30"/>
    <s v="Yes"/>
    <n v="20"/>
    <n v="7"/>
    <n v="58"/>
    <x v="3"/>
  </r>
  <r>
    <x v="52"/>
    <s v="Raul Machado"/>
    <s v="Standard"/>
    <d v="2024-04-18T00:00:00"/>
    <x v="1"/>
    <n v="10"/>
    <x v="0"/>
    <s v="No"/>
    <s v="-"/>
    <s v="Yes"/>
    <n v="20"/>
    <n v="10"/>
    <n v="20"/>
    <x v="3"/>
  </r>
  <r>
    <x v="53"/>
    <s v="Sônia Lobo"/>
    <s v="Core"/>
    <d v="2024-04-19T00:00:00"/>
    <x v="0"/>
    <n v="5"/>
    <x v="1"/>
    <s v="No"/>
    <s v="-"/>
    <s v="No"/>
    <n v="0"/>
    <n v="0"/>
    <n v="5"/>
    <x v="3"/>
  </r>
  <r>
    <x v="54"/>
    <s v="Tiago Ramos"/>
    <s v="Ultimate"/>
    <d v="2024-04-20T00:00:00"/>
    <x v="1"/>
    <n v="15"/>
    <x v="0"/>
    <s v="Yes"/>
    <n v="30"/>
    <s v="Yes"/>
    <n v="20"/>
    <n v="20"/>
    <n v="45"/>
    <x v="3"/>
  </r>
  <r>
    <x v="55"/>
    <s v="Ugo Pires"/>
    <s v="Standard"/>
    <d v="2024-04-21T00:00:00"/>
    <x v="0"/>
    <n v="10"/>
    <x v="2"/>
    <s v="No"/>
    <s v="-"/>
    <s v="Yes"/>
    <n v="20"/>
    <n v="15"/>
    <n v="15"/>
    <x v="3"/>
  </r>
  <r>
    <x v="56"/>
    <s v="Valéria Nobre"/>
    <s v="Core"/>
    <d v="2024-04-22T00:00:00"/>
    <x v="1"/>
    <n v="5"/>
    <x v="0"/>
    <s v="No"/>
    <s v="-"/>
    <s v="No"/>
    <n v="0"/>
    <n v="1"/>
    <n v="4"/>
    <x v="3"/>
  </r>
  <r>
    <x v="57"/>
    <s v="William Siqueira"/>
    <s v="Ultimate"/>
    <d v="2024-04-23T00:00:00"/>
    <x v="0"/>
    <n v="15"/>
    <x v="1"/>
    <s v="Yes"/>
    <n v="30"/>
    <s v="Yes"/>
    <n v="20"/>
    <n v="3"/>
    <n v="62"/>
    <x v="3"/>
  </r>
  <r>
    <x v="58"/>
    <s v="Xuxa Meneghel"/>
    <s v="Standard"/>
    <d v="2024-04-24T00:00:00"/>
    <x v="1"/>
    <n v="10"/>
    <x v="0"/>
    <s v="No"/>
    <s v="-"/>
    <s v="Yes"/>
    <n v="20"/>
    <n v="10"/>
    <n v="20"/>
    <x v="3"/>
  </r>
  <r>
    <x v="59"/>
    <s v="Yara Figueiredo"/>
    <s v="Core"/>
    <d v="2024-04-25T00:00:00"/>
    <x v="0"/>
    <n v="5"/>
    <x v="2"/>
    <s v="No"/>
    <s v="-"/>
    <s v="No"/>
    <n v="0"/>
    <n v="0"/>
    <n v="5"/>
    <x v="3"/>
  </r>
  <r>
    <x v="60"/>
    <s v="Zacarias Alves"/>
    <s v="Ultimate"/>
    <d v="2024-04-26T00:00:00"/>
    <x v="1"/>
    <n v="15"/>
    <x v="0"/>
    <s v="Yes"/>
    <n v="30"/>
    <s v="Yes"/>
    <n v="20"/>
    <n v="5"/>
    <n v="60"/>
    <x v="3"/>
  </r>
  <r>
    <x v="61"/>
    <s v="Amanda Bynes"/>
    <s v="Standard"/>
    <d v="2024-04-27T00:00:00"/>
    <x v="0"/>
    <n v="10"/>
    <x v="1"/>
    <s v="No"/>
    <s v="-"/>
    <s v="Yes"/>
    <n v="20"/>
    <n v="15"/>
    <n v="15"/>
    <x v="3"/>
  </r>
  <r>
    <x v="62"/>
    <s v="Bruno Mars"/>
    <s v="Core"/>
    <d v="2024-04-28T00:00:00"/>
    <x v="1"/>
    <n v="5"/>
    <x v="0"/>
    <s v="No"/>
    <s v="-"/>
    <s v="No"/>
    <n v="0"/>
    <n v="1"/>
    <n v="4"/>
    <x v="3"/>
  </r>
  <r>
    <x v="63"/>
    <s v="Carla Bruni"/>
    <s v="Ultimate"/>
    <d v="2024-04-29T00:00:00"/>
    <x v="0"/>
    <n v="15"/>
    <x v="2"/>
    <s v="Yes"/>
    <n v="30"/>
    <s v="Yes"/>
    <n v="20"/>
    <n v="20"/>
    <n v="45"/>
    <x v="3"/>
  </r>
  <r>
    <x v="64"/>
    <s v="Diego Maradona"/>
    <s v="Standard"/>
    <d v="2024-04-30T00:00:00"/>
    <x v="1"/>
    <n v="10"/>
    <x v="0"/>
    <s v="No"/>
    <s v="-"/>
    <s v="Yes"/>
    <n v="20"/>
    <n v="5"/>
    <n v="25"/>
    <x v="3"/>
  </r>
  <r>
    <x v="65"/>
    <s v="Estela Marques"/>
    <s v="Core"/>
    <d v="2024-05-01T00:00:00"/>
    <x v="1"/>
    <n v="5"/>
    <x v="0"/>
    <s v="No"/>
    <s v="-"/>
    <s v="No"/>
    <n v="0"/>
    <n v="0"/>
    <n v="5"/>
    <x v="4"/>
  </r>
  <r>
    <x v="66"/>
    <s v="Fábio Nobre"/>
    <s v="Ultimate"/>
    <d v="2024-05-02T00:00:00"/>
    <x v="0"/>
    <n v="15"/>
    <x v="2"/>
    <s v="Yes"/>
    <n v="30"/>
    <s v="Yes"/>
    <n v="20"/>
    <n v="7"/>
    <n v="58"/>
    <x v="4"/>
  </r>
  <r>
    <x v="67"/>
    <s v="Gabriel Oliveira"/>
    <s v="Standard"/>
    <d v="2024-05-03T00:00:00"/>
    <x v="1"/>
    <n v="10"/>
    <x v="1"/>
    <s v="No"/>
    <s v="-"/>
    <s v="Yes"/>
    <n v="20"/>
    <n v="10"/>
    <n v="20"/>
    <x v="4"/>
  </r>
  <r>
    <x v="68"/>
    <s v="Helena Santos"/>
    <s v="Core"/>
    <d v="2024-05-04T00:00:00"/>
    <x v="0"/>
    <n v="5"/>
    <x v="2"/>
    <s v="No"/>
    <s v="-"/>
    <s v="No"/>
    <n v="0"/>
    <n v="1"/>
    <n v="4"/>
    <x v="4"/>
  </r>
  <r>
    <x v="69"/>
    <s v="Ivan Carvalho"/>
    <s v="Ultimate"/>
    <d v="2024-05-05T00:00:00"/>
    <x v="1"/>
    <n v="15"/>
    <x v="0"/>
    <s v="Yes"/>
    <n v="30"/>
    <s v="Yes"/>
    <n v="20"/>
    <n v="15"/>
    <n v="50"/>
    <x v="4"/>
  </r>
  <r>
    <x v="70"/>
    <s v="Júlia Ferreira"/>
    <s v="Standard"/>
    <d v="2024-05-06T00:00:00"/>
    <x v="0"/>
    <n v="10"/>
    <x v="0"/>
    <s v="No"/>
    <s v="-"/>
    <s v="Yes"/>
    <n v="20"/>
    <n v="5"/>
    <n v="25"/>
    <x v="4"/>
  </r>
  <r>
    <x v="71"/>
    <s v="Karla Alves"/>
    <s v="Core"/>
    <d v="2024-05-07T00:00:00"/>
    <x v="1"/>
    <n v="5"/>
    <x v="1"/>
    <s v="No"/>
    <s v="-"/>
    <s v="No"/>
    <n v="0"/>
    <n v="0"/>
    <n v="5"/>
    <x v="4"/>
  </r>
  <r>
    <x v="72"/>
    <s v="Lucas Mendes"/>
    <s v="Ultimate"/>
    <d v="2024-05-08T00:00:00"/>
    <x v="0"/>
    <n v="15"/>
    <x v="2"/>
    <s v="Yes"/>
    <n v="30"/>
    <s v="Yes"/>
    <n v="20"/>
    <n v="20"/>
    <n v="45"/>
    <x v="4"/>
  </r>
  <r>
    <x v="73"/>
    <s v="Mônica Gomes"/>
    <s v="Standard"/>
    <d v="2024-05-09T00:00:00"/>
    <x v="1"/>
    <n v="10"/>
    <x v="2"/>
    <s v="No"/>
    <s v="-"/>
    <s v="Yes"/>
    <n v="20"/>
    <n v="12"/>
    <n v="18"/>
    <x v="4"/>
  </r>
  <r>
    <x v="74"/>
    <s v="Norberto Queiroz"/>
    <s v="Core"/>
    <d v="2024-05-10T00:00:00"/>
    <x v="0"/>
    <n v="5"/>
    <x v="0"/>
    <s v="No"/>
    <s v="-"/>
    <s v="No"/>
    <n v="0"/>
    <n v="2"/>
    <n v="3"/>
    <x v="4"/>
  </r>
  <r>
    <x v="75"/>
    <s v="Otávio Barros"/>
    <s v="Ultimate"/>
    <d v="2024-05-11T00:00:00"/>
    <x v="1"/>
    <n v="15"/>
    <x v="1"/>
    <s v="Yes"/>
    <n v="30"/>
    <s v="Yes"/>
    <n v="20"/>
    <n v="5"/>
    <n v="60"/>
    <x v="4"/>
  </r>
  <r>
    <x v="76"/>
    <s v="Paula Vieira"/>
    <s v="Standard"/>
    <d v="2024-05-12T00:00:00"/>
    <x v="0"/>
    <n v="10"/>
    <x v="0"/>
    <s v="No"/>
    <s v="-"/>
    <s v="Yes"/>
    <n v="20"/>
    <n v="10"/>
    <n v="20"/>
    <x v="4"/>
  </r>
  <r>
    <x v="77"/>
    <s v="Quentin Ramos"/>
    <s v="Core"/>
    <d v="2024-05-13T00:00:00"/>
    <x v="1"/>
    <n v="5"/>
    <x v="2"/>
    <s v="No"/>
    <s v="-"/>
    <s v="No"/>
    <n v="0"/>
    <n v="0"/>
    <n v="5"/>
    <x v="4"/>
  </r>
  <r>
    <x v="78"/>
    <s v="Raquel Novaes"/>
    <s v="Ultimate"/>
    <d v="2024-05-14T00:00:00"/>
    <x v="0"/>
    <n v="15"/>
    <x v="0"/>
    <s v="Yes"/>
    <n v="30"/>
    <s v="Yes"/>
    <n v="20"/>
    <n v="3"/>
    <n v="62"/>
    <x v="4"/>
  </r>
  <r>
    <x v="79"/>
    <s v="Samantha Lopes"/>
    <s v="Standard"/>
    <d v="2024-05-15T00:00:00"/>
    <x v="1"/>
    <n v="10"/>
    <x v="1"/>
    <s v="No"/>
    <s v="-"/>
    <s v="Yes"/>
    <n v="20"/>
    <n v="15"/>
    <n v="15"/>
    <x v="4"/>
  </r>
  <r>
    <x v="80"/>
    <s v="Tiago Martins"/>
    <s v="Core"/>
    <d v="2024-05-16T00:00:00"/>
    <x v="0"/>
    <n v="5"/>
    <x v="0"/>
    <s v="No"/>
    <s v="-"/>
    <s v="No"/>
    <n v="0"/>
    <n v="1"/>
    <n v="4"/>
    <x v="4"/>
  </r>
  <r>
    <x v="81"/>
    <s v="Ulysses Guimarães"/>
    <s v="Ultimate"/>
    <d v="2024-05-17T00:00:00"/>
    <x v="1"/>
    <n v="15"/>
    <x v="2"/>
    <s v="Yes"/>
    <n v="30"/>
    <s v="Yes"/>
    <n v="20"/>
    <n v="7"/>
    <n v="58"/>
    <x v="4"/>
  </r>
  <r>
    <x v="82"/>
    <s v="Vanessa Silva"/>
    <s v="Standard"/>
    <d v="2024-05-18T00:00:00"/>
    <x v="0"/>
    <n v="10"/>
    <x v="0"/>
    <s v="No"/>
    <s v="-"/>
    <s v="Yes"/>
    <n v="20"/>
    <n v="10"/>
    <n v="20"/>
    <x v="4"/>
  </r>
  <r>
    <x v="83"/>
    <s v="William Carneiro"/>
    <s v="Core"/>
    <d v="2024-05-19T00:00:00"/>
    <x v="1"/>
    <n v="5"/>
    <x v="1"/>
    <s v="No"/>
    <s v="-"/>
    <s v="No"/>
    <n v="0"/>
    <n v="0"/>
    <n v="5"/>
    <x v="4"/>
  </r>
  <r>
    <x v="84"/>
    <s v="Ximena Rocha"/>
    <s v="Ultimate"/>
    <d v="2024-05-20T00:00:00"/>
    <x v="0"/>
    <n v="15"/>
    <x v="0"/>
    <s v="Yes"/>
    <n v="30"/>
    <s v="Yes"/>
    <n v="20"/>
    <n v="20"/>
    <n v="45"/>
    <x v="4"/>
  </r>
  <r>
    <x v="85"/>
    <s v="Yasmin Figueiredo"/>
    <s v="Standard"/>
    <d v="2024-05-21T00:00:00"/>
    <x v="1"/>
    <n v="10"/>
    <x v="2"/>
    <s v="No"/>
    <s v="-"/>
    <s v="Yes"/>
    <n v="20"/>
    <n v="15"/>
    <n v="15"/>
    <x v="4"/>
  </r>
  <r>
    <x v="86"/>
    <s v="Zara Cunha"/>
    <s v="Core"/>
    <d v="2024-05-22T00:00:00"/>
    <x v="0"/>
    <n v="5"/>
    <x v="0"/>
    <s v="No"/>
    <s v="-"/>
    <s v="No"/>
    <n v="0"/>
    <n v="1"/>
    <n v="4"/>
    <x v="4"/>
  </r>
  <r>
    <x v="87"/>
    <s v="Alan Teixeira"/>
    <s v="Ultimate"/>
    <d v="2024-05-23T00:00:00"/>
    <x v="1"/>
    <n v="15"/>
    <x v="1"/>
    <s v="Yes"/>
    <n v="30"/>
    <s v="Yes"/>
    <n v="20"/>
    <n v="3"/>
    <n v="62"/>
    <x v="4"/>
  </r>
  <r>
    <x v="88"/>
    <s v="Bárbara Oliveira"/>
    <s v="Standard"/>
    <d v="2024-05-24T00:00:00"/>
    <x v="0"/>
    <n v="10"/>
    <x v="0"/>
    <s v="No"/>
    <s v="-"/>
    <s v="Yes"/>
    <n v="20"/>
    <n v="10"/>
    <n v="20"/>
    <x v="4"/>
  </r>
  <r>
    <x v="89"/>
    <s v="Carlos Junqueira"/>
    <s v="Core"/>
    <d v="2024-05-25T00:00:00"/>
    <x v="1"/>
    <n v="5"/>
    <x v="2"/>
    <s v="No"/>
    <s v="-"/>
    <s v="No"/>
    <n v="0"/>
    <n v="0"/>
    <n v="5"/>
    <x v="4"/>
  </r>
  <r>
    <x v="90"/>
    <s v="Daniela Moura"/>
    <s v="Ultimate"/>
    <d v="2024-05-26T00:00:00"/>
    <x v="0"/>
    <n v="15"/>
    <x v="0"/>
    <s v="Yes"/>
    <n v="30"/>
    <s v="Yes"/>
    <n v="20"/>
    <n v="5"/>
    <n v="60"/>
    <x v="4"/>
  </r>
  <r>
    <x v="91"/>
    <s v="Eduardo Lima"/>
    <s v="Standard"/>
    <d v="2024-05-27T00:00:00"/>
    <x v="1"/>
    <n v="10"/>
    <x v="1"/>
    <s v="No"/>
    <s v="-"/>
    <s v="Yes"/>
    <n v="20"/>
    <n v="15"/>
    <n v="15"/>
    <x v="4"/>
  </r>
  <r>
    <x v="92"/>
    <s v="Fabiana Araújo"/>
    <s v="Core"/>
    <d v="2024-05-28T00:00:00"/>
    <x v="0"/>
    <n v="5"/>
    <x v="0"/>
    <s v="No"/>
    <s v="-"/>
    <s v="No"/>
    <n v="0"/>
    <n v="1"/>
    <n v="4"/>
    <x v="4"/>
  </r>
  <r>
    <x v="93"/>
    <s v="Geraldo Ribeiro"/>
    <s v="Ultimate"/>
    <d v="2024-05-29T00:00:00"/>
    <x v="1"/>
    <n v="15"/>
    <x v="2"/>
    <s v="Yes"/>
    <n v="30"/>
    <s v="Yes"/>
    <n v="20"/>
    <n v="20"/>
    <n v="45"/>
    <x v="4"/>
  </r>
  <r>
    <x v="94"/>
    <s v="Héctor Vargas"/>
    <s v="Standard"/>
    <d v="2024-05-30T00:00:00"/>
    <x v="0"/>
    <n v="10"/>
    <x v="2"/>
    <s v="No"/>
    <s v="-"/>
    <s v="Yes"/>
    <n v="20"/>
    <n v="15"/>
    <n v="15"/>
    <x v="4"/>
  </r>
  <r>
    <x v="95"/>
    <s v="Isabela Fonseca"/>
    <s v="Core"/>
    <d v="2024-05-31T00:00:00"/>
    <x v="1"/>
    <n v="5"/>
    <x v="1"/>
    <s v="No"/>
    <s v="-"/>
    <s v="No"/>
    <n v="0"/>
    <n v="0"/>
    <n v="5"/>
    <x v="4"/>
  </r>
  <r>
    <x v="96"/>
    <s v="João Pedro Almeida"/>
    <s v="Ultimate"/>
    <d v="2024-06-01T00:00:00"/>
    <x v="0"/>
    <n v="15"/>
    <x v="0"/>
    <s v="Yes"/>
    <n v="30"/>
    <s v="Yes"/>
    <n v="20"/>
    <n v="7"/>
    <n v="58"/>
    <x v="5"/>
  </r>
  <r>
    <x v="97"/>
    <s v="Klara Costa"/>
    <s v="Standard"/>
    <d v="2024-06-02T00:00:00"/>
    <x v="1"/>
    <n v="10"/>
    <x v="1"/>
    <s v="No"/>
    <s v="-"/>
    <s v="Yes"/>
    <n v="20"/>
    <n v="10"/>
    <n v="20"/>
    <x v="5"/>
  </r>
  <r>
    <x v="98"/>
    <s v="Luciana Mendes"/>
    <s v="Core"/>
    <d v="2024-06-03T00:00:00"/>
    <x v="0"/>
    <n v="5"/>
    <x v="2"/>
    <s v="No"/>
    <s v="-"/>
    <s v="No"/>
    <n v="0"/>
    <n v="1"/>
    <n v="4"/>
    <x v="5"/>
  </r>
  <r>
    <x v="99"/>
    <s v="Marcelo Gouveia"/>
    <s v="Ultimate"/>
    <d v="2024-06-04T00:00:00"/>
    <x v="1"/>
    <n v="15"/>
    <x v="0"/>
    <s v="Yes"/>
    <n v="30"/>
    <s v="Yes"/>
    <n v="20"/>
    <n v="15"/>
    <n v="50"/>
    <x v="5"/>
  </r>
  <r>
    <x v="100"/>
    <s v="Nívea Borges"/>
    <s v="Standard"/>
    <d v="2024-06-05T00:00:00"/>
    <x v="0"/>
    <n v="10"/>
    <x v="0"/>
    <s v="No"/>
    <s v="-"/>
    <s v="Yes"/>
    <n v="20"/>
    <n v="5"/>
    <n v="25"/>
    <x v="5"/>
  </r>
  <r>
    <x v="101"/>
    <s v="Oscar Nogueira"/>
    <s v="Core"/>
    <d v="2024-06-06T00:00:00"/>
    <x v="1"/>
    <n v="5"/>
    <x v="1"/>
    <s v="No"/>
    <s v="-"/>
    <s v="No"/>
    <n v="0"/>
    <n v="0"/>
    <n v="5"/>
    <x v="5"/>
  </r>
  <r>
    <x v="102"/>
    <s v="Patrícia Alves"/>
    <s v="Ultimate"/>
    <d v="2024-06-07T00:00:00"/>
    <x v="0"/>
    <n v="15"/>
    <x v="2"/>
    <s v="Yes"/>
    <n v="30"/>
    <s v="Yes"/>
    <n v="20"/>
    <n v="20"/>
    <n v="45"/>
    <x v="5"/>
  </r>
  <r>
    <x v="103"/>
    <s v="Rafaela Silva"/>
    <s v="Standard"/>
    <d v="2024-06-08T00:00:00"/>
    <x v="1"/>
    <n v="10"/>
    <x v="2"/>
    <s v="No"/>
    <s v="-"/>
    <s v="Yes"/>
    <n v="20"/>
    <n v="12"/>
    <n v="18"/>
    <x v="5"/>
  </r>
  <r>
    <x v="104"/>
    <s v="Samantha Moraes"/>
    <s v="Core"/>
    <d v="2024-06-09T00:00:00"/>
    <x v="0"/>
    <n v="5"/>
    <x v="0"/>
    <s v="No"/>
    <s v="-"/>
    <s v="No"/>
    <n v="0"/>
    <n v="2"/>
    <n v="3"/>
    <x v="5"/>
  </r>
  <r>
    <x v="105"/>
    <s v="Tatiana Rocha"/>
    <s v="Core"/>
    <d v="2024-06-10T00:00:00"/>
    <x v="0"/>
    <n v="5"/>
    <x v="0"/>
    <s v="No"/>
    <s v="-"/>
    <s v="No"/>
    <n v="0"/>
    <n v="0"/>
    <n v="5"/>
    <x v="5"/>
  </r>
  <r>
    <x v="106"/>
    <s v="Ulisses Tavares"/>
    <s v="Ultimate"/>
    <d v="2024-06-11T00:00:00"/>
    <x v="1"/>
    <n v="15"/>
    <x v="2"/>
    <s v="Yes"/>
    <n v="30"/>
    <s v="Yes"/>
    <n v="20"/>
    <n v="7"/>
    <n v="58"/>
    <x v="5"/>
  </r>
  <r>
    <x v="107"/>
    <s v="Víctor Lemos"/>
    <s v="Standard"/>
    <d v="2024-06-12T00:00:00"/>
    <x v="0"/>
    <n v="10"/>
    <x v="1"/>
    <s v="No"/>
    <s v="-"/>
    <s v="Yes"/>
    <n v="20"/>
    <n v="10"/>
    <n v="20"/>
    <x v="5"/>
  </r>
  <r>
    <x v="108"/>
    <s v="Wilma Barros"/>
    <s v="Core"/>
    <d v="2024-06-13T00:00:00"/>
    <x v="1"/>
    <n v="5"/>
    <x v="2"/>
    <s v="No"/>
    <s v="-"/>
    <s v="No"/>
    <n v="0"/>
    <n v="1"/>
    <n v="4"/>
    <x v="5"/>
  </r>
  <r>
    <x v="109"/>
    <s v="Xavier Nascimento"/>
    <s v="Ultimate"/>
    <d v="2024-06-14T00:00:00"/>
    <x v="0"/>
    <n v="15"/>
    <x v="0"/>
    <s v="Yes"/>
    <n v="30"/>
    <s v="Yes"/>
    <n v="20"/>
    <n v="15"/>
    <n v="50"/>
    <x v="5"/>
  </r>
  <r>
    <x v="110"/>
    <s v="Yago Pereira"/>
    <s v="Standard"/>
    <d v="2024-06-15T00:00:00"/>
    <x v="1"/>
    <n v="10"/>
    <x v="0"/>
    <s v="No"/>
    <s v="-"/>
    <s v="Yes"/>
    <n v="20"/>
    <n v="5"/>
    <n v="25"/>
    <x v="5"/>
  </r>
  <r>
    <x v="111"/>
    <s v="Zilda Ferreira"/>
    <s v="Core"/>
    <d v="2024-06-16T00:00:00"/>
    <x v="0"/>
    <n v="5"/>
    <x v="1"/>
    <s v="No"/>
    <s v="-"/>
    <s v="No"/>
    <n v="0"/>
    <n v="0"/>
    <n v="5"/>
    <x v="5"/>
  </r>
  <r>
    <x v="112"/>
    <s v="Amanda Lopes"/>
    <s v="Ultimate"/>
    <d v="2024-06-17T00:00:00"/>
    <x v="1"/>
    <n v="15"/>
    <x v="2"/>
    <s v="Yes"/>
    <n v="30"/>
    <s v="Yes"/>
    <n v="20"/>
    <n v="20"/>
    <n v="45"/>
    <x v="5"/>
  </r>
  <r>
    <x v="113"/>
    <s v="Bruno Miranda"/>
    <s v="Standard"/>
    <d v="2024-06-18T00:00:00"/>
    <x v="0"/>
    <n v="10"/>
    <x v="2"/>
    <s v="No"/>
    <s v="-"/>
    <s v="Yes"/>
    <n v="20"/>
    <n v="12"/>
    <n v="18"/>
    <x v="5"/>
  </r>
  <r>
    <x v="114"/>
    <s v="Célia Torres"/>
    <s v="Core"/>
    <d v="2024-06-19T00:00:00"/>
    <x v="1"/>
    <n v="5"/>
    <x v="0"/>
    <s v="No"/>
    <s v="-"/>
    <s v="No"/>
    <n v="0"/>
    <n v="2"/>
    <n v="3"/>
    <x v="5"/>
  </r>
  <r>
    <x v="115"/>
    <s v="Diogo Souza"/>
    <s v="Ultimate"/>
    <d v="2024-06-20T00:00:00"/>
    <x v="0"/>
    <n v="15"/>
    <x v="1"/>
    <s v="Yes"/>
    <n v="30"/>
    <s v="Yes"/>
    <n v="20"/>
    <n v="5"/>
    <n v="60"/>
    <x v="5"/>
  </r>
  <r>
    <x v="116"/>
    <s v="Elisa Castro"/>
    <s v="Standard"/>
    <d v="2024-06-21T00:00:00"/>
    <x v="1"/>
    <n v="10"/>
    <x v="0"/>
    <s v="No"/>
    <s v="-"/>
    <s v="Yes"/>
    <n v="20"/>
    <n v="10"/>
    <n v="20"/>
    <x v="5"/>
  </r>
  <r>
    <x v="117"/>
    <s v="Fátima Lima"/>
    <s v="Core"/>
    <d v="2024-06-22T00:00:00"/>
    <x v="0"/>
    <n v="5"/>
    <x v="2"/>
    <s v="No"/>
    <s v="-"/>
    <s v="No"/>
    <n v="0"/>
    <n v="0"/>
    <n v="5"/>
    <x v="5"/>
  </r>
  <r>
    <x v="118"/>
    <s v="Geraldo Ribeiro"/>
    <s v="Ultimate"/>
    <d v="2024-06-23T00:00:00"/>
    <x v="1"/>
    <n v="15"/>
    <x v="0"/>
    <s v="Yes"/>
    <n v="30"/>
    <s v="Yes"/>
    <n v="20"/>
    <n v="3"/>
    <n v="62"/>
    <x v="5"/>
  </r>
  <r>
    <x v="119"/>
    <s v="Hélio Martins"/>
    <s v="Standard"/>
    <d v="2024-06-24T00:00:00"/>
    <x v="0"/>
    <n v="10"/>
    <x v="1"/>
    <s v="No"/>
    <s v="-"/>
    <s v="Yes"/>
    <n v="20"/>
    <n v="15"/>
    <n v="15"/>
    <x v="5"/>
  </r>
  <r>
    <x v="120"/>
    <s v="Íris Santos"/>
    <s v="Core"/>
    <d v="2024-06-25T00:00:00"/>
    <x v="1"/>
    <n v="5"/>
    <x v="0"/>
    <s v="No"/>
    <s v="-"/>
    <s v="No"/>
    <n v="0"/>
    <n v="1"/>
    <n v="4"/>
    <x v="5"/>
  </r>
  <r>
    <x v="121"/>
    <s v="João Marcelo"/>
    <s v="Ultimate"/>
    <d v="2024-06-26T00:00:00"/>
    <x v="0"/>
    <n v="15"/>
    <x v="2"/>
    <s v="Yes"/>
    <n v="30"/>
    <s v="Yes"/>
    <n v="20"/>
    <n v="7"/>
    <n v="58"/>
    <x v="5"/>
  </r>
  <r>
    <x v="122"/>
    <s v="Larissa Gomes"/>
    <s v="Standard"/>
    <d v="2024-06-27T00:00:00"/>
    <x v="1"/>
    <n v="10"/>
    <x v="0"/>
    <s v="No"/>
    <s v="-"/>
    <s v="Yes"/>
    <n v="20"/>
    <n v="10"/>
    <n v="20"/>
    <x v="5"/>
  </r>
  <r>
    <x v="123"/>
    <s v="Márcio Silva"/>
    <s v="Core"/>
    <d v="2024-06-28T00:00:00"/>
    <x v="0"/>
    <n v="5"/>
    <x v="1"/>
    <s v="No"/>
    <s v="-"/>
    <s v="No"/>
    <n v="0"/>
    <n v="0"/>
    <n v="5"/>
    <x v="5"/>
  </r>
  <r>
    <x v="124"/>
    <s v="Nadia Costa"/>
    <s v="Ultimate"/>
    <d v="2024-06-29T00:00:00"/>
    <x v="1"/>
    <n v="15"/>
    <x v="0"/>
    <s v="Yes"/>
    <n v="30"/>
    <s v="Yes"/>
    <n v="20"/>
    <n v="20"/>
    <n v="45"/>
    <x v="5"/>
  </r>
  <r>
    <x v="125"/>
    <s v="Oscar Almeida"/>
    <s v="Standard"/>
    <d v="2024-06-30T00:00:00"/>
    <x v="0"/>
    <n v="10"/>
    <x v="2"/>
    <s v="No"/>
    <s v="-"/>
    <s v="Yes"/>
    <n v="20"/>
    <n v="15"/>
    <n v="15"/>
    <x v="5"/>
  </r>
  <r>
    <x v="126"/>
    <s v="Patricia Soares"/>
    <s v="Core"/>
    <d v="2024-07-01T00:00:00"/>
    <x v="1"/>
    <n v="5"/>
    <x v="0"/>
    <s v="No"/>
    <s v="-"/>
    <s v="No"/>
    <n v="0"/>
    <n v="1"/>
    <n v="4"/>
    <x v="6"/>
  </r>
  <r>
    <x v="127"/>
    <s v="Quênia Barros"/>
    <s v="Ultimate"/>
    <d v="2024-07-02T00:00:00"/>
    <x v="0"/>
    <n v="15"/>
    <x v="1"/>
    <s v="Yes"/>
    <n v="30"/>
    <s v="Yes"/>
    <n v="20"/>
    <n v="3"/>
    <n v="62"/>
    <x v="6"/>
  </r>
  <r>
    <x v="128"/>
    <s v="Rafael Torres"/>
    <s v="Standard"/>
    <d v="2024-07-03T00:00:00"/>
    <x v="1"/>
    <n v="10"/>
    <x v="0"/>
    <s v="No"/>
    <s v="-"/>
    <s v="Yes"/>
    <n v="20"/>
    <n v="10"/>
    <n v="20"/>
    <x v="6"/>
  </r>
  <r>
    <x v="129"/>
    <s v="Silvia Nascimento"/>
    <s v="Core"/>
    <d v="2024-07-04T00:00:00"/>
    <x v="0"/>
    <n v="5"/>
    <x v="2"/>
    <s v="No"/>
    <s v="-"/>
    <s v="No"/>
    <n v="0"/>
    <n v="0"/>
    <n v="5"/>
    <x v="6"/>
  </r>
  <r>
    <x v="130"/>
    <s v="Tiago Mendes"/>
    <s v="Ultimate"/>
    <d v="2024-07-05T00:00:00"/>
    <x v="1"/>
    <n v="15"/>
    <x v="0"/>
    <s v="Yes"/>
    <n v="30"/>
    <s v="Yes"/>
    <n v="20"/>
    <n v="15"/>
    <n v="50"/>
    <x v="6"/>
  </r>
  <r>
    <x v="131"/>
    <s v="Ursula Silva"/>
    <s v="Standard"/>
    <d v="2024-07-06T00:00:00"/>
    <x v="0"/>
    <n v="10"/>
    <x v="1"/>
    <s v="No"/>
    <s v="-"/>
    <s v="Yes"/>
    <n v="20"/>
    <n v="15"/>
    <n v="15"/>
    <x v="6"/>
  </r>
  <r>
    <x v="132"/>
    <s v="Vanessa Moraes"/>
    <s v="Core"/>
    <d v="2024-07-07T00:00:00"/>
    <x v="1"/>
    <n v="5"/>
    <x v="0"/>
    <s v="No"/>
    <s v="-"/>
    <s v="No"/>
    <n v="0"/>
    <n v="1"/>
    <n v="4"/>
    <x v="6"/>
  </r>
  <r>
    <x v="133"/>
    <s v="Waldir Junior"/>
    <s v="Ultimate"/>
    <d v="2024-07-08T00:00:00"/>
    <x v="0"/>
    <n v="15"/>
    <x v="2"/>
    <s v="Yes"/>
    <n v="30"/>
    <s v="Yes"/>
    <n v="20"/>
    <n v="7"/>
    <n v="58"/>
    <x v="6"/>
  </r>
  <r>
    <x v="134"/>
    <s v="Xavier Lopes"/>
    <s v="Standard"/>
    <d v="2024-07-09T00:00:00"/>
    <x v="1"/>
    <n v="10"/>
    <x v="0"/>
    <s v="No"/>
    <s v="-"/>
    <s v="Yes"/>
    <n v="20"/>
    <n v="10"/>
    <n v="20"/>
    <x v="6"/>
  </r>
  <r>
    <x v="135"/>
    <s v="Yolanda Freitas"/>
    <s v="Core"/>
    <d v="2024-07-10T00:00:00"/>
    <x v="0"/>
    <n v="5"/>
    <x v="0"/>
    <s v="No"/>
    <s v="-"/>
    <s v="No"/>
    <n v="0"/>
    <n v="0"/>
    <n v="5"/>
    <x v="6"/>
  </r>
  <r>
    <x v="136"/>
    <s v="Zacarias Nunes"/>
    <s v="Ultimate"/>
    <d v="2024-07-11T00:00:00"/>
    <x v="1"/>
    <n v="15"/>
    <x v="2"/>
    <s v="Yes"/>
    <n v="30"/>
    <s v="Yes"/>
    <n v="20"/>
    <n v="7"/>
    <n v="58"/>
    <x v="6"/>
  </r>
  <r>
    <x v="137"/>
    <s v="Ana Clara Barreto"/>
    <s v="Standard"/>
    <d v="2024-07-12T00:00:00"/>
    <x v="0"/>
    <n v="10"/>
    <x v="1"/>
    <s v="No"/>
    <s v="-"/>
    <s v="Yes"/>
    <n v="20"/>
    <n v="10"/>
    <n v="20"/>
    <x v="6"/>
  </r>
  <r>
    <x v="138"/>
    <s v="Bruno Henrique"/>
    <s v="Core"/>
    <d v="2024-07-13T00:00:00"/>
    <x v="1"/>
    <n v="5"/>
    <x v="2"/>
    <s v="No"/>
    <s v="-"/>
    <s v="No"/>
    <n v="0"/>
    <n v="1"/>
    <n v="4"/>
    <x v="6"/>
  </r>
  <r>
    <x v="139"/>
    <s v="Carlos Eduardo"/>
    <s v="Ultimate"/>
    <d v="2024-07-14T00:00:00"/>
    <x v="0"/>
    <n v="15"/>
    <x v="0"/>
    <s v="Yes"/>
    <n v="30"/>
    <s v="Yes"/>
    <n v="20"/>
    <n v="15"/>
    <n v="50"/>
    <x v="6"/>
  </r>
  <r>
    <x v="140"/>
    <s v="Débora Lima"/>
    <s v="Standard"/>
    <d v="2024-07-15T00:00:00"/>
    <x v="1"/>
    <n v="10"/>
    <x v="0"/>
    <s v="No"/>
    <s v="-"/>
    <s v="Yes"/>
    <n v="20"/>
    <n v="5"/>
    <n v="25"/>
    <x v="6"/>
  </r>
  <r>
    <x v="141"/>
    <s v="Elisa Neves"/>
    <s v="Core"/>
    <d v="2024-07-16T00:00:00"/>
    <x v="0"/>
    <n v="5"/>
    <x v="1"/>
    <s v="No"/>
    <s v="-"/>
    <s v="No"/>
    <n v="0"/>
    <n v="0"/>
    <n v="5"/>
    <x v="6"/>
  </r>
  <r>
    <x v="142"/>
    <s v="Fabiano Gomes"/>
    <s v="Ultimate"/>
    <d v="2024-07-17T00:00:00"/>
    <x v="1"/>
    <n v="15"/>
    <x v="2"/>
    <s v="Yes"/>
    <n v="30"/>
    <s v="Yes"/>
    <n v="20"/>
    <n v="20"/>
    <n v="45"/>
    <x v="6"/>
  </r>
  <r>
    <x v="143"/>
    <s v="Gisele Oliveira"/>
    <s v="Standard"/>
    <d v="2024-07-18T00:00:00"/>
    <x v="0"/>
    <n v="10"/>
    <x v="2"/>
    <s v="No"/>
    <s v="-"/>
    <s v="Yes"/>
    <n v="20"/>
    <n v="12"/>
    <n v="18"/>
    <x v="6"/>
  </r>
  <r>
    <x v="144"/>
    <s v="Héctor Silva"/>
    <s v="Core"/>
    <d v="2024-07-19T00:00:00"/>
    <x v="1"/>
    <n v="5"/>
    <x v="0"/>
    <s v="No"/>
    <s v="-"/>
    <s v="No"/>
    <n v="0"/>
    <n v="2"/>
    <n v="3"/>
    <x v="6"/>
  </r>
  <r>
    <x v="145"/>
    <s v="Igor Martins"/>
    <s v="Ultimate"/>
    <d v="2024-07-20T00:00:00"/>
    <x v="0"/>
    <n v="15"/>
    <x v="1"/>
    <s v="Yes"/>
    <n v="30"/>
    <s v="Yes"/>
    <n v="20"/>
    <n v="5"/>
    <n v="60"/>
    <x v="6"/>
  </r>
  <r>
    <x v="146"/>
    <s v="Joana Figueiredo"/>
    <s v="Standard"/>
    <d v="2024-07-21T00:00:00"/>
    <x v="1"/>
    <n v="10"/>
    <x v="0"/>
    <s v="No"/>
    <s v="-"/>
    <s v="Yes"/>
    <n v="20"/>
    <n v="10"/>
    <n v="20"/>
    <x v="6"/>
  </r>
  <r>
    <x v="147"/>
    <s v="Kleber Machado"/>
    <s v="Core"/>
    <d v="2024-07-22T00:00:00"/>
    <x v="0"/>
    <n v="5"/>
    <x v="2"/>
    <s v="No"/>
    <s v="-"/>
    <s v="No"/>
    <n v="0"/>
    <n v="0"/>
    <n v="5"/>
    <x v="6"/>
  </r>
  <r>
    <x v="148"/>
    <s v="Luciana Santos"/>
    <s v="Ultimate"/>
    <d v="2024-07-23T00:00:00"/>
    <x v="1"/>
    <n v="15"/>
    <x v="0"/>
    <s v="Yes"/>
    <n v="30"/>
    <s v="Yes"/>
    <n v="20"/>
    <n v="3"/>
    <n v="62"/>
    <x v="6"/>
  </r>
  <r>
    <x v="149"/>
    <s v="Marcos Teixeira"/>
    <s v="Standard"/>
    <d v="2024-07-24T00:00:00"/>
    <x v="0"/>
    <n v="10"/>
    <x v="1"/>
    <s v="No"/>
    <s v="-"/>
    <s v="Yes"/>
    <n v="20"/>
    <n v="15"/>
    <n v="15"/>
    <x v="6"/>
  </r>
  <r>
    <x v="150"/>
    <s v="Natalia Costa"/>
    <s v="Core"/>
    <d v="2024-07-25T00:00:00"/>
    <x v="1"/>
    <n v="5"/>
    <x v="0"/>
    <s v="No"/>
    <s v="-"/>
    <s v="No"/>
    <n v="0"/>
    <n v="1"/>
    <n v="4"/>
    <x v="6"/>
  </r>
  <r>
    <x v="151"/>
    <s v="Oscar Ribeiro"/>
    <s v="Ultimate"/>
    <d v="2024-07-26T00:00:00"/>
    <x v="0"/>
    <n v="15"/>
    <x v="2"/>
    <s v="Yes"/>
    <n v="30"/>
    <s v="Yes"/>
    <n v="20"/>
    <n v="7"/>
    <n v="58"/>
    <x v="6"/>
  </r>
  <r>
    <x v="152"/>
    <s v="Patricia Almeida"/>
    <s v="Standard"/>
    <d v="2024-07-27T00:00:00"/>
    <x v="1"/>
    <n v="10"/>
    <x v="0"/>
    <s v="No"/>
    <s v="-"/>
    <s v="Yes"/>
    <n v="20"/>
    <n v="10"/>
    <n v="20"/>
    <x v="6"/>
  </r>
  <r>
    <x v="153"/>
    <s v="Quirino Junior"/>
    <s v="Core"/>
    <d v="2024-07-28T00:00:00"/>
    <x v="0"/>
    <n v="5"/>
    <x v="1"/>
    <s v="No"/>
    <s v="-"/>
    <s v="No"/>
    <n v="0"/>
    <n v="0"/>
    <n v="5"/>
    <x v="6"/>
  </r>
  <r>
    <x v="154"/>
    <s v="Renata Machado"/>
    <s v="Ultimate"/>
    <d v="2024-07-29T00:00:00"/>
    <x v="1"/>
    <n v="15"/>
    <x v="0"/>
    <s v="Yes"/>
    <n v="30"/>
    <s v="Yes"/>
    <n v="20"/>
    <n v="20"/>
    <n v="45"/>
    <x v="6"/>
  </r>
  <r>
    <x v="155"/>
    <s v="Sônia Alves"/>
    <s v="Standard"/>
    <d v="2024-07-30T00:00:00"/>
    <x v="0"/>
    <n v="10"/>
    <x v="2"/>
    <s v="No"/>
    <s v="-"/>
    <s v="Yes"/>
    <n v="20"/>
    <n v="15"/>
    <n v="15"/>
    <x v="6"/>
  </r>
  <r>
    <x v="156"/>
    <s v="Tiago Nunes"/>
    <s v="Core"/>
    <d v="2024-07-31T00:00:00"/>
    <x v="1"/>
    <n v="5"/>
    <x v="0"/>
    <s v="No"/>
    <s v="-"/>
    <s v="No"/>
    <n v="0"/>
    <n v="1"/>
    <n v="4"/>
    <x v="6"/>
  </r>
  <r>
    <x v="157"/>
    <s v="Ulysses Pereira"/>
    <s v="Ultimate"/>
    <d v="2024-08-01T00:00:00"/>
    <x v="0"/>
    <n v="15"/>
    <x v="1"/>
    <s v="Yes"/>
    <n v="30"/>
    <s v="Yes"/>
    <n v="20"/>
    <n v="3"/>
    <n v="62"/>
    <x v="7"/>
  </r>
  <r>
    <x v="158"/>
    <s v="Vanessa Lima"/>
    <s v="Standard"/>
    <d v="2024-08-02T00:00:00"/>
    <x v="1"/>
    <n v="10"/>
    <x v="0"/>
    <s v="No"/>
    <s v="-"/>
    <s v="Yes"/>
    <n v="20"/>
    <n v="10"/>
    <n v="20"/>
    <x v="7"/>
  </r>
  <r>
    <x v="159"/>
    <s v="Wagner Santos"/>
    <s v="Core"/>
    <d v="2024-08-03T00:00:00"/>
    <x v="0"/>
    <n v="5"/>
    <x v="2"/>
    <s v="No"/>
    <s v="-"/>
    <s v="No"/>
    <n v="0"/>
    <n v="0"/>
    <n v="5"/>
    <x v="7"/>
  </r>
  <r>
    <x v="160"/>
    <s v="Xuxa Meneghel"/>
    <s v="Ultimate"/>
    <d v="2024-08-04T00:00:00"/>
    <x v="1"/>
    <n v="15"/>
    <x v="0"/>
    <s v="Yes"/>
    <n v="30"/>
    <s v="Yes"/>
    <n v="20"/>
    <n v="15"/>
    <n v="50"/>
    <x v="7"/>
  </r>
  <r>
    <x v="161"/>
    <s v="Yasmin Silva"/>
    <s v="Standard"/>
    <d v="2024-08-05T00:00:00"/>
    <x v="0"/>
    <n v="10"/>
    <x v="1"/>
    <s v="No"/>
    <s v="-"/>
    <s v="Yes"/>
    <n v="20"/>
    <n v="15"/>
    <n v="15"/>
    <x v="7"/>
  </r>
  <r>
    <x v="162"/>
    <s v="Zacarias de Souza"/>
    <s v="Core"/>
    <d v="2024-08-06T00:00:00"/>
    <x v="1"/>
    <n v="5"/>
    <x v="0"/>
    <s v="No"/>
    <s v="-"/>
    <s v="No"/>
    <n v="0"/>
    <n v="1"/>
    <n v="4"/>
    <x v="7"/>
  </r>
  <r>
    <x v="163"/>
    <s v="André Lima"/>
    <s v="Ultimate"/>
    <d v="2024-08-07T00:00:00"/>
    <x v="0"/>
    <n v="15"/>
    <x v="2"/>
    <s v="Yes"/>
    <n v="30"/>
    <s v="Yes"/>
    <n v="20"/>
    <n v="7"/>
    <n v="58"/>
    <x v="7"/>
  </r>
  <r>
    <x v="164"/>
    <s v="Bianca Freitas"/>
    <s v="Standard"/>
    <d v="2024-08-08T00:00:00"/>
    <x v="1"/>
    <n v="10"/>
    <x v="0"/>
    <s v="No"/>
    <s v="-"/>
    <s v="Yes"/>
    <n v="20"/>
    <n v="10"/>
    <n v="20"/>
    <x v="7"/>
  </r>
  <r>
    <x v="165"/>
    <s v="Caio Mendes"/>
    <s v="Core"/>
    <d v="2024-08-09T00:00:00"/>
    <x v="0"/>
    <n v="5"/>
    <x v="1"/>
    <s v="No"/>
    <s v="-"/>
    <s v="No"/>
    <n v="0"/>
    <n v="0"/>
    <n v="5"/>
    <x v="7"/>
  </r>
  <r>
    <x v="166"/>
    <s v="Daniela Moura"/>
    <s v="Ultimate"/>
    <d v="2024-08-10T00:00:00"/>
    <x v="1"/>
    <n v="15"/>
    <x v="0"/>
    <s v="Yes"/>
    <n v="30"/>
    <s v="Yes"/>
    <n v="20"/>
    <n v="20"/>
    <n v="45"/>
    <x v="7"/>
  </r>
  <r>
    <x v="167"/>
    <s v="Eduardo Costa"/>
    <s v="Standard"/>
    <d v="2024-08-11T00:00:00"/>
    <x v="0"/>
    <n v="10"/>
    <x v="2"/>
    <s v="No"/>
    <s v="-"/>
    <s v="Yes"/>
    <n v="20"/>
    <n v="15"/>
    <n v="15"/>
    <x v="7"/>
  </r>
  <r>
    <x v="168"/>
    <s v="Fernanda Gomes"/>
    <s v="Core"/>
    <d v="2024-08-12T00:00:00"/>
    <x v="1"/>
    <n v="5"/>
    <x v="0"/>
    <s v="No"/>
    <s v="-"/>
    <s v="No"/>
    <n v="0"/>
    <n v="1"/>
    <n v="4"/>
    <x v="7"/>
  </r>
  <r>
    <x v="169"/>
    <s v="Guilherme Souza"/>
    <s v="Ultimate"/>
    <d v="2024-08-13T00:00:00"/>
    <x v="0"/>
    <n v="15"/>
    <x v="1"/>
    <s v="Yes"/>
    <n v="30"/>
    <s v="Yes"/>
    <n v="20"/>
    <n v="5"/>
    <n v="60"/>
    <x v="7"/>
  </r>
  <r>
    <x v="170"/>
    <s v="Helena Ribeiro"/>
    <s v="Standard"/>
    <d v="2024-08-14T00:00:00"/>
    <x v="1"/>
    <n v="10"/>
    <x v="0"/>
    <s v="No"/>
    <s v="-"/>
    <s v="Yes"/>
    <n v="20"/>
    <n v="10"/>
    <n v="20"/>
    <x v="7"/>
  </r>
  <r>
    <x v="171"/>
    <s v="Igor Santos"/>
    <s v="Core"/>
    <d v="2024-08-15T00:00:00"/>
    <x v="0"/>
    <n v="5"/>
    <x v="2"/>
    <s v="No"/>
    <s v="-"/>
    <s v="No"/>
    <n v="0"/>
    <n v="0"/>
    <n v="5"/>
    <x v="7"/>
  </r>
  <r>
    <x v="172"/>
    <s v="João Carvalho"/>
    <s v="Ultimate"/>
    <d v="2024-08-16T00:00:00"/>
    <x v="1"/>
    <n v="15"/>
    <x v="0"/>
    <s v="Yes"/>
    <n v="30"/>
    <s v="Yes"/>
    <n v="20"/>
    <n v="3"/>
    <n v="62"/>
    <x v="7"/>
  </r>
  <r>
    <x v="173"/>
    <s v="Klara Fagundes"/>
    <s v="Standard"/>
    <d v="2024-08-17T00:00:00"/>
    <x v="0"/>
    <n v="10"/>
    <x v="1"/>
    <s v="No"/>
    <s v="-"/>
    <s v="Yes"/>
    <n v="20"/>
    <n v="15"/>
    <n v="15"/>
    <x v="7"/>
  </r>
  <r>
    <x v="174"/>
    <s v="Lúcia Mendonça"/>
    <s v="Core"/>
    <d v="2024-08-18T00:00:00"/>
    <x v="1"/>
    <n v="5"/>
    <x v="0"/>
    <s v="No"/>
    <s v="-"/>
    <s v="No"/>
    <n v="0"/>
    <n v="1"/>
    <n v="4"/>
    <x v="7"/>
  </r>
  <r>
    <x v="175"/>
    <s v="Marcelo Novaes"/>
    <s v="Core"/>
    <d v="2024-08-19T00:00:00"/>
    <x v="0"/>
    <n v="5"/>
    <x v="0"/>
    <s v="No"/>
    <s v="-"/>
    <s v="No"/>
    <n v="0"/>
    <n v="0"/>
    <n v="5"/>
    <x v="7"/>
  </r>
  <r>
    <x v="176"/>
    <s v="Nina Pacheco"/>
    <s v="Ultimate"/>
    <d v="2024-08-20T00:00:00"/>
    <x v="1"/>
    <n v="15"/>
    <x v="2"/>
    <s v="Yes"/>
    <n v="30"/>
    <s v="Yes"/>
    <n v="20"/>
    <n v="7"/>
    <n v="58"/>
    <x v="7"/>
  </r>
  <r>
    <x v="177"/>
    <s v="Olívia Rios"/>
    <s v="Standard"/>
    <d v="2024-08-21T00:00:00"/>
    <x v="0"/>
    <n v="10"/>
    <x v="1"/>
    <s v="No"/>
    <s v="-"/>
    <s v="Yes"/>
    <n v="20"/>
    <n v="10"/>
    <n v="20"/>
    <x v="7"/>
  </r>
  <r>
    <x v="178"/>
    <s v="Paulo Quintana"/>
    <s v="Core"/>
    <d v="2024-08-22T00:00:00"/>
    <x v="1"/>
    <n v="5"/>
    <x v="2"/>
    <s v="No"/>
    <s v="-"/>
    <s v="No"/>
    <n v="0"/>
    <n v="1"/>
    <n v="4"/>
    <x v="7"/>
  </r>
  <r>
    <x v="179"/>
    <s v="Raquel Domingos"/>
    <s v="Ultimate"/>
    <d v="2024-08-23T00:00:00"/>
    <x v="0"/>
    <n v="15"/>
    <x v="0"/>
    <s v="Yes"/>
    <n v="30"/>
    <s v="Yes"/>
    <n v="20"/>
    <n v="15"/>
    <n v="50"/>
    <x v="7"/>
  </r>
  <r>
    <x v="180"/>
    <s v="Samuel Viana"/>
    <s v="Standard"/>
    <d v="2024-08-24T00:00:00"/>
    <x v="1"/>
    <n v="10"/>
    <x v="0"/>
    <s v="No"/>
    <s v="-"/>
    <s v="Yes"/>
    <n v="20"/>
    <n v="5"/>
    <n v="25"/>
    <x v="7"/>
  </r>
  <r>
    <x v="181"/>
    <s v="Tatiane Rocha"/>
    <s v="Core"/>
    <d v="2024-08-25T00:00:00"/>
    <x v="0"/>
    <n v="5"/>
    <x v="1"/>
    <s v="No"/>
    <s v="-"/>
    <s v="No"/>
    <n v="0"/>
    <n v="0"/>
    <n v="5"/>
    <x v="7"/>
  </r>
  <r>
    <x v="182"/>
    <s v="Ulysses Farias"/>
    <s v="Ultimate"/>
    <d v="2024-08-26T00:00:00"/>
    <x v="1"/>
    <n v="15"/>
    <x v="2"/>
    <s v="Yes"/>
    <n v="30"/>
    <s v="Yes"/>
    <n v="20"/>
    <n v="20"/>
    <n v="45"/>
    <x v="7"/>
  </r>
  <r>
    <x v="183"/>
    <s v="Vanessa Moreira"/>
    <s v="Standard"/>
    <d v="2024-08-27T00:00:00"/>
    <x v="0"/>
    <n v="10"/>
    <x v="2"/>
    <s v="No"/>
    <s v="-"/>
    <s v="Yes"/>
    <n v="20"/>
    <n v="12"/>
    <n v="18"/>
    <x v="7"/>
  </r>
  <r>
    <x v="184"/>
    <s v="William Carvalho"/>
    <s v="Core"/>
    <d v="2024-08-28T00:00:00"/>
    <x v="1"/>
    <n v="5"/>
    <x v="0"/>
    <s v="No"/>
    <s v="-"/>
    <s v="No"/>
    <n v="0"/>
    <n v="2"/>
    <n v="3"/>
    <x v="7"/>
  </r>
  <r>
    <x v="185"/>
    <s v="Ximena Barros"/>
    <s v="Ultimate"/>
    <d v="2024-08-29T00:00:00"/>
    <x v="0"/>
    <n v="15"/>
    <x v="1"/>
    <s v="Yes"/>
    <n v="30"/>
    <s v="Yes"/>
    <n v="20"/>
    <n v="5"/>
    <n v="60"/>
    <x v="7"/>
  </r>
  <r>
    <x v="186"/>
    <s v="Yara Machado"/>
    <s v="Standard"/>
    <d v="2024-08-30T00:00:00"/>
    <x v="1"/>
    <n v="10"/>
    <x v="0"/>
    <s v="No"/>
    <s v="-"/>
    <s v="Yes"/>
    <n v="20"/>
    <n v="10"/>
    <n v="20"/>
    <x v="7"/>
  </r>
  <r>
    <x v="187"/>
    <s v="Zacarias Costa"/>
    <s v="Core"/>
    <d v="2024-08-31T00:00:00"/>
    <x v="0"/>
    <n v="5"/>
    <x v="2"/>
    <s v="No"/>
    <s v="-"/>
    <s v="No"/>
    <n v="0"/>
    <n v="0"/>
    <n v="5"/>
    <x v="7"/>
  </r>
  <r>
    <x v="188"/>
    <s v="André Lopes"/>
    <s v="Ultimate"/>
    <d v="2024-09-01T00:00:00"/>
    <x v="1"/>
    <n v="15"/>
    <x v="0"/>
    <s v="Yes"/>
    <n v="30"/>
    <s v="Yes"/>
    <n v="20"/>
    <n v="3"/>
    <n v="62"/>
    <x v="8"/>
  </r>
  <r>
    <x v="189"/>
    <s v="Beatriz Souza"/>
    <s v="Standard"/>
    <d v="2024-09-02T00:00:00"/>
    <x v="0"/>
    <n v="10"/>
    <x v="1"/>
    <s v="No"/>
    <s v="-"/>
    <s v="Yes"/>
    <n v="20"/>
    <n v="15"/>
    <n v="15"/>
    <x v="8"/>
  </r>
  <r>
    <x v="190"/>
    <s v="Caio Pereira"/>
    <s v="Core"/>
    <d v="2024-09-03T00:00:00"/>
    <x v="1"/>
    <n v="5"/>
    <x v="0"/>
    <s v="No"/>
    <s v="-"/>
    <s v="No"/>
    <n v="0"/>
    <n v="1"/>
    <n v="4"/>
    <x v="8"/>
  </r>
  <r>
    <x v="191"/>
    <s v="Daniela Araújo"/>
    <s v="Ultimate"/>
    <d v="2024-09-04T00:00:00"/>
    <x v="0"/>
    <n v="15"/>
    <x v="2"/>
    <s v="Yes"/>
    <n v="30"/>
    <s v="Yes"/>
    <n v="20"/>
    <n v="7"/>
    <n v="58"/>
    <x v="8"/>
  </r>
  <r>
    <x v="192"/>
    <s v="Eduardo Santos"/>
    <s v="Standard"/>
    <d v="2024-09-05T00:00:00"/>
    <x v="1"/>
    <n v="10"/>
    <x v="0"/>
    <s v="No"/>
    <s v="-"/>
    <s v="Yes"/>
    <n v="20"/>
    <n v="10"/>
    <n v="20"/>
    <x v="8"/>
  </r>
  <r>
    <x v="193"/>
    <s v="Fernanda Lima"/>
    <s v="Core"/>
    <d v="2024-09-06T00:00:00"/>
    <x v="0"/>
    <n v="5"/>
    <x v="1"/>
    <s v="No"/>
    <s v="-"/>
    <s v="No"/>
    <n v="0"/>
    <n v="0"/>
    <n v="5"/>
    <x v="8"/>
  </r>
  <r>
    <x v="194"/>
    <s v="Gabriel Teixeira"/>
    <s v="Ultimate"/>
    <d v="2024-09-07T00:00:00"/>
    <x v="1"/>
    <n v="15"/>
    <x v="0"/>
    <s v="Yes"/>
    <n v="30"/>
    <s v="Yes"/>
    <n v="20"/>
    <n v="20"/>
    <n v="45"/>
    <x v="8"/>
  </r>
  <r>
    <x v="195"/>
    <s v="Helena Ribeiro"/>
    <s v="Standard"/>
    <d v="2024-09-08T00:00:00"/>
    <x v="0"/>
    <n v="10"/>
    <x v="2"/>
    <s v="No"/>
    <s v="-"/>
    <s v="Yes"/>
    <n v="20"/>
    <n v="15"/>
    <n v="15"/>
    <x v="8"/>
  </r>
  <r>
    <x v="196"/>
    <s v="Igor Mendes"/>
    <s v="Core"/>
    <d v="2024-09-09T00:00:00"/>
    <x v="1"/>
    <n v="5"/>
    <x v="0"/>
    <s v="No"/>
    <s v="-"/>
    <s v="No"/>
    <n v="0"/>
    <n v="1"/>
    <n v="4"/>
    <x v="8"/>
  </r>
  <r>
    <x v="197"/>
    <s v="Joana Silveira"/>
    <s v="Ultimate"/>
    <d v="2024-09-10T00:00:00"/>
    <x v="0"/>
    <n v="15"/>
    <x v="1"/>
    <s v="Yes"/>
    <n v="30"/>
    <s v="Yes"/>
    <n v="20"/>
    <n v="3"/>
    <n v="62"/>
    <x v="8"/>
  </r>
  <r>
    <x v="198"/>
    <s v="Lucas Martins"/>
    <s v="Standard"/>
    <d v="2024-09-11T00:00:00"/>
    <x v="1"/>
    <n v="10"/>
    <x v="0"/>
    <s v="No"/>
    <s v="-"/>
    <s v="Yes"/>
    <n v="20"/>
    <n v="10"/>
    <n v="20"/>
    <x v="8"/>
  </r>
  <r>
    <x v="199"/>
    <s v="Marcela Gouveia"/>
    <s v="Core"/>
    <d v="2024-09-12T00:00:00"/>
    <x v="0"/>
    <n v="5"/>
    <x v="2"/>
    <s v="No"/>
    <s v="-"/>
    <s v="No"/>
    <n v="0"/>
    <n v="0"/>
    <n v="5"/>
    <x v="8"/>
  </r>
  <r>
    <x v="200"/>
    <s v="Nicolas Borges"/>
    <s v="Ultimate"/>
    <d v="2024-09-13T00:00:00"/>
    <x v="1"/>
    <n v="15"/>
    <x v="0"/>
    <s v="Yes"/>
    <n v="30"/>
    <s v="Yes"/>
    <n v="20"/>
    <n v="15"/>
    <n v="50"/>
    <x v="8"/>
  </r>
  <r>
    <x v="201"/>
    <s v="Olivia Freitas"/>
    <s v="Standard"/>
    <d v="2024-09-14T00:00:00"/>
    <x v="0"/>
    <n v="10"/>
    <x v="1"/>
    <s v="No"/>
    <s v="-"/>
    <s v="Yes"/>
    <n v="20"/>
    <n v="15"/>
    <n v="15"/>
    <x v="8"/>
  </r>
  <r>
    <x v="202"/>
    <s v="Paulo Nogueira"/>
    <s v="Core"/>
    <d v="2024-09-15T00:00:00"/>
    <x v="1"/>
    <n v="5"/>
    <x v="0"/>
    <s v="No"/>
    <s v="-"/>
    <s v="No"/>
    <n v="0"/>
    <n v="1"/>
    <n v="4"/>
    <x v="8"/>
  </r>
  <r>
    <x v="203"/>
    <s v="Raquel Andrade"/>
    <s v="Ultimate"/>
    <d v="2024-09-16T00:00:00"/>
    <x v="0"/>
    <n v="15"/>
    <x v="2"/>
    <s v="Yes"/>
    <n v="30"/>
    <s v="Yes"/>
    <n v="20"/>
    <n v="7"/>
    <n v="58"/>
    <x v="8"/>
  </r>
  <r>
    <x v="204"/>
    <s v="Sônia Carvalho"/>
    <s v="Standard"/>
    <d v="2024-09-17T00:00:00"/>
    <x v="1"/>
    <n v="10"/>
    <x v="0"/>
    <s v="No"/>
    <s v="-"/>
    <s v="Yes"/>
    <n v="20"/>
    <n v="10"/>
    <n v="20"/>
    <x v="8"/>
  </r>
  <r>
    <x v="205"/>
    <s v="Tiago Rodrigues"/>
    <s v="Core"/>
    <d v="2024-09-18T00:00:00"/>
    <x v="0"/>
    <n v="5"/>
    <x v="0"/>
    <s v="No"/>
    <s v="-"/>
    <s v="No"/>
    <n v="0"/>
    <n v="0"/>
    <n v="5"/>
    <x v="8"/>
  </r>
  <r>
    <x v="206"/>
    <s v="Ursula Monteiro"/>
    <s v="Ultimate"/>
    <d v="2024-09-19T00:00:00"/>
    <x v="1"/>
    <n v="15"/>
    <x v="2"/>
    <s v="Yes"/>
    <n v="30"/>
    <s v="Yes"/>
    <n v="20"/>
    <n v="7"/>
    <n v="58"/>
    <x v="8"/>
  </r>
  <r>
    <x v="207"/>
    <s v="Vanessa Pereira"/>
    <s v="Standard"/>
    <d v="2024-09-20T00:00:00"/>
    <x v="0"/>
    <n v="10"/>
    <x v="1"/>
    <s v="No"/>
    <s v="-"/>
    <s v="Yes"/>
    <n v="20"/>
    <n v="10"/>
    <n v="20"/>
    <x v="8"/>
  </r>
  <r>
    <x v="208"/>
    <s v="Walter Silva"/>
    <s v="Core"/>
    <d v="2024-09-21T00:00:00"/>
    <x v="1"/>
    <n v="5"/>
    <x v="2"/>
    <s v="No"/>
    <s v="-"/>
    <s v="No"/>
    <n v="0"/>
    <n v="1"/>
    <n v="4"/>
    <x v="8"/>
  </r>
  <r>
    <x v="209"/>
    <s v="Xavier Almeida"/>
    <s v="Ultimate"/>
    <d v="2024-09-22T00:00:00"/>
    <x v="0"/>
    <n v="15"/>
    <x v="0"/>
    <s v="Yes"/>
    <n v="30"/>
    <s v="Yes"/>
    <n v="20"/>
    <n v="15"/>
    <n v="50"/>
    <x v="8"/>
  </r>
  <r>
    <x v="210"/>
    <s v="Yasmine Correia"/>
    <s v="Standard"/>
    <d v="2024-09-23T00:00:00"/>
    <x v="1"/>
    <n v="10"/>
    <x v="0"/>
    <s v="No"/>
    <s v="-"/>
    <s v="Yes"/>
    <n v="20"/>
    <n v="5"/>
    <n v="25"/>
    <x v="8"/>
  </r>
  <r>
    <x v="211"/>
    <s v="Zacarias Almeida"/>
    <s v="Core"/>
    <d v="2024-09-24T00:00:00"/>
    <x v="0"/>
    <n v="5"/>
    <x v="1"/>
    <s v="No"/>
    <s v="-"/>
    <s v="No"/>
    <n v="0"/>
    <n v="0"/>
    <n v="5"/>
    <x v="8"/>
  </r>
  <r>
    <x v="212"/>
    <s v="Amanda Costa"/>
    <s v="Ultimate"/>
    <d v="2024-09-25T00:00:00"/>
    <x v="1"/>
    <n v="15"/>
    <x v="2"/>
    <s v="Yes"/>
    <n v="30"/>
    <s v="Yes"/>
    <n v="20"/>
    <n v="20"/>
    <n v="45"/>
    <x v="8"/>
  </r>
  <r>
    <x v="213"/>
    <s v="Bruno Ferreira"/>
    <s v="Standard"/>
    <d v="2024-09-26T00:00:00"/>
    <x v="0"/>
    <n v="10"/>
    <x v="2"/>
    <s v="No"/>
    <s v="-"/>
    <s v="Yes"/>
    <n v="20"/>
    <n v="12"/>
    <n v="18"/>
    <x v="8"/>
  </r>
  <r>
    <x v="214"/>
    <s v="Carla Dias"/>
    <s v="Core"/>
    <d v="2024-09-27T00:00:00"/>
    <x v="1"/>
    <n v="5"/>
    <x v="0"/>
    <s v="No"/>
    <s v="-"/>
    <s v="No"/>
    <n v="0"/>
    <n v="2"/>
    <n v="3"/>
    <x v="8"/>
  </r>
  <r>
    <x v="215"/>
    <s v="Diogo Martins"/>
    <s v="Ultimate"/>
    <d v="2024-09-28T00:00:00"/>
    <x v="0"/>
    <n v="15"/>
    <x v="1"/>
    <s v="Yes"/>
    <n v="30"/>
    <s v="Yes"/>
    <n v="20"/>
    <n v="5"/>
    <n v="60"/>
    <x v="8"/>
  </r>
  <r>
    <x v="216"/>
    <s v="Elisa Campos"/>
    <s v="Standard"/>
    <d v="2024-09-29T00:00:00"/>
    <x v="1"/>
    <n v="10"/>
    <x v="0"/>
    <s v="No"/>
    <s v="-"/>
    <s v="Yes"/>
    <n v="20"/>
    <n v="10"/>
    <n v="20"/>
    <x v="8"/>
  </r>
  <r>
    <x v="217"/>
    <s v="Fabiana Lima"/>
    <s v="Core"/>
    <d v="2024-09-30T00:00:00"/>
    <x v="0"/>
    <n v="5"/>
    <x v="2"/>
    <s v="No"/>
    <s v="-"/>
    <s v="No"/>
    <n v="0"/>
    <n v="0"/>
    <n v="5"/>
    <x v="8"/>
  </r>
  <r>
    <x v="218"/>
    <s v="Gabriel Santos"/>
    <s v="Ultimate"/>
    <d v="2024-10-01T00:00:00"/>
    <x v="1"/>
    <n v="15"/>
    <x v="0"/>
    <s v="Yes"/>
    <n v="30"/>
    <s v="Yes"/>
    <n v="20"/>
    <n v="3"/>
    <n v="62"/>
    <x v="9"/>
  </r>
  <r>
    <x v="219"/>
    <s v="Helena Ferreira"/>
    <s v="Standard"/>
    <d v="2024-10-02T00:00:00"/>
    <x v="0"/>
    <n v="10"/>
    <x v="1"/>
    <s v="No"/>
    <s v="-"/>
    <s v="Yes"/>
    <n v="20"/>
    <n v="15"/>
    <n v="15"/>
    <x v="9"/>
  </r>
  <r>
    <x v="220"/>
    <s v="Ígor Nunes"/>
    <s v="Core"/>
    <d v="2024-10-03T00:00:00"/>
    <x v="1"/>
    <n v="5"/>
    <x v="0"/>
    <s v="No"/>
    <s v="-"/>
    <s v="No"/>
    <n v="0"/>
    <n v="1"/>
    <n v="4"/>
    <x v="9"/>
  </r>
  <r>
    <x v="221"/>
    <s v="Joana Silveira"/>
    <s v="Ultimate"/>
    <d v="2024-10-04T00:00:00"/>
    <x v="0"/>
    <n v="15"/>
    <x v="2"/>
    <s v="Yes"/>
    <n v="30"/>
    <s v="Yes"/>
    <n v="20"/>
    <n v="7"/>
    <n v="58"/>
    <x v="9"/>
  </r>
  <r>
    <x v="222"/>
    <s v="Kléber Oliveira"/>
    <s v="Standard"/>
    <d v="2024-10-05T00:00:00"/>
    <x v="1"/>
    <n v="10"/>
    <x v="0"/>
    <s v="No"/>
    <s v="-"/>
    <s v="Yes"/>
    <n v="20"/>
    <n v="10"/>
    <n v="20"/>
    <x v="9"/>
  </r>
  <r>
    <x v="223"/>
    <s v="Luciana Morais"/>
    <s v="Core"/>
    <d v="2024-10-06T00:00:00"/>
    <x v="0"/>
    <n v="5"/>
    <x v="1"/>
    <s v="No"/>
    <s v="-"/>
    <s v="No"/>
    <n v="0"/>
    <n v="0"/>
    <n v="5"/>
    <x v="9"/>
  </r>
  <r>
    <x v="224"/>
    <s v="Marcos Vinícius"/>
    <s v="Ultimate"/>
    <d v="2024-10-07T00:00:00"/>
    <x v="1"/>
    <n v="15"/>
    <x v="0"/>
    <s v="Yes"/>
    <n v="30"/>
    <s v="Yes"/>
    <n v="20"/>
    <n v="20"/>
    <n v="45"/>
    <x v="9"/>
  </r>
  <r>
    <x v="225"/>
    <s v="Natália Barros"/>
    <s v="Standard"/>
    <d v="2024-10-08T00:00:00"/>
    <x v="0"/>
    <n v="10"/>
    <x v="2"/>
    <s v="No"/>
    <s v="-"/>
    <s v="Yes"/>
    <n v="20"/>
    <n v="15"/>
    <n v="15"/>
    <x v="9"/>
  </r>
  <r>
    <x v="226"/>
    <s v="Oscar Sampaio"/>
    <s v="Core"/>
    <d v="2024-10-09T00:00:00"/>
    <x v="1"/>
    <n v="5"/>
    <x v="0"/>
    <s v="No"/>
    <s v="-"/>
    <s v="No"/>
    <n v="0"/>
    <n v="1"/>
    <n v="4"/>
    <x v="9"/>
  </r>
  <r>
    <x v="227"/>
    <s v="Patrícia Leite"/>
    <s v="Ultimate"/>
    <d v="2024-10-10T00:00:00"/>
    <x v="0"/>
    <n v="15"/>
    <x v="1"/>
    <s v="Yes"/>
    <n v="30"/>
    <s v="Yes"/>
    <n v="20"/>
    <n v="3"/>
    <n v="62"/>
    <x v="9"/>
  </r>
  <r>
    <x v="228"/>
    <s v="Quênia Rocha"/>
    <s v="Standard"/>
    <d v="2024-10-11T00:00:00"/>
    <x v="1"/>
    <n v="10"/>
    <x v="0"/>
    <s v="No"/>
    <s v="-"/>
    <s v="Yes"/>
    <n v="20"/>
    <n v="10"/>
    <n v="20"/>
    <x v="9"/>
  </r>
  <r>
    <x v="229"/>
    <s v="Rafael Torres"/>
    <s v="Core"/>
    <d v="2024-10-12T00:00:00"/>
    <x v="0"/>
    <n v="5"/>
    <x v="2"/>
    <s v="No"/>
    <s v="-"/>
    <s v="No"/>
    <n v="0"/>
    <n v="0"/>
    <n v="5"/>
    <x v="9"/>
  </r>
  <r>
    <x v="230"/>
    <s v="Sandra Gouveia"/>
    <s v="Ultimate"/>
    <d v="2024-10-13T00:00:00"/>
    <x v="1"/>
    <n v="15"/>
    <x v="0"/>
    <s v="Yes"/>
    <n v="30"/>
    <s v="Yes"/>
    <n v="20"/>
    <n v="15"/>
    <n v="50"/>
    <x v="9"/>
  </r>
  <r>
    <x v="231"/>
    <s v="Tiago Lacerda"/>
    <s v="Standard"/>
    <d v="2024-10-14T00:00:00"/>
    <x v="0"/>
    <n v="10"/>
    <x v="1"/>
    <s v="No"/>
    <s v="-"/>
    <s v="Yes"/>
    <n v="20"/>
    <n v="15"/>
    <n v="15"/>
    <x v="9"/>
  </r>
  <r>
    <x v="232"/>
    <s v="Ursula Fonseca"/>
    <s v="Core"/>
    <d v="2024-10-15T00:00:00"/>
    <x v="1"/>
    <n v="5"/>
    <x v="0"/>
    <s v="No"/>
    <s v="-"/>
    <s v="No"/>
    <n v="0"/>
    <n v="1"/>
    <n v="4"/>
    <x v="9"/>
  </r>
  <r>
    <x v="233"/>
    <s v="Vanessa Andrade"/>
    <s v="Ultimate"/>
    <d v="2024-10-16T00:00:00"/>
    <x v="0"/>
    <n v="15"/>
    <x v="2"/>
    <s v="Yes"/>
    <n v="30"/>
    <s v="Yes"/>
    <n v="20"/>
    <n v="7"/>
    <n v="58"/>
    <x v="9"/>
  </r>
  <r>
    <x v="234"/>
    <s v="William Castro"/>
    <s v="Standard"/>
    <d v="2024-10-17T00:00:00"/>
    <x v="1"/>
    <n v="10"/>
    <x v="0"/>
    <s v="No"/>
    <s v="-"/>
    <s v="Yes"/>
    <n v="20"/>
    <n v="10"/>
    <n v="20"/>
    <x v="9"/>
  </r>
  <r>
    <x v="235"/>
    <s v="Xavier Monteiro"/>
    <s v="Core"/>
    <d v="2024-10-18T00:00:00"/>
    <x v="0"/>
    <n v="5"/>
    <x v="1"/>
    <s v="No"/>
    <s v="-"/>
    <s v="No"/>
    <n v="0"/>
    <n v="0"/>
    <n v="5"/>
    <x v="9"/>
  </r>
  <r>
    <x v="236"/>
    <s v="Yasmin Figueira"/>
    <s v="Ultimate"/>
    <d v="2024-10-19T00:00:00"/>
    <x v="1"/>
    <n v="15"/>
    <x v="0"/>
    <s v="Yes"/>
    <n v="30"/>
    <s v="Yes"/>
    <n v="20"/>
    <n v="15"/>
    <n v="50"/>
    <x v="9"/>
  </r>
  <r>
    <x v="237"/>
    <s v="Zacarias Mendonça"/>
    <s v="Standard"/>
    <d v="2024-10-20T00:00:00"/>
    <x v="0"/>
    <n v="10"/>
    <x v="2"/>
    <s v="No"/>
    <s v="-"/>
    <s v="Yes"/>
    <n v="20"/>
    <n v="12"/>
    <n v="18"/>
    <x v="9"/>
  </r>
  <r>
    <x v="238"/>
    <s v="Amanda Menezes"/>
    <s v="Core"/>
    <d v="2024-10-21T00:00:00"/>
    <x v="1"/>
    <n v="5"/>
    <x v="0"/>
    <s v="No"/>
    <s v="-"/>
    <s v="No"/>
    <n v="0"/>
    <n v="2"/>
    <n v="3"/>
    <x v="9"/>
  </r>
  <r>
    <x v="239"/>
    <s v="Bruno Santos"/>
    <s v="Ultimate"/>
    <d v="2024-10-22T00:00:00"/>
    <x v="0"/>
    <n v="15"/>
    <x v="1"/>
    <s v="Yes"/>
    <n v="30"/>
    <s v="Yes"/>
    <n v="20"/>
    <n v="5"/>
    <n v="60"/>
    <x v="9"/>
  </r>
  <r>
    <x v="240"/>
    <s v="Carla Ferreira"/>
    <s v="Standard"/>
    <d v="2024-10-23T00:00:00"/>
    <x v="1"/>
    <n v="10"/>
    <x v="0"/>
    <s v="No"/>
    <s v="-"/>
    <s v="Yes"/>
    <n v="20"/>
    <n v="10"/>
    <n v="20"/>
    <x v="9"/>
  </r>
  <r>
    <x v="241"/>
    <s v="Diogo Alves"/>
    <s v="Core"/>
    <d v="2024-10-24T00:00:00"/>
    <x v="0"/>
    <n v="5"/>
    <x v="2"/>
    <s v="No"/>
    <s v="-"/>
    <s v="No"/>
    <n v="0"/>
    <n v="0"/>
    <n v="5"/>
    <x v="9"/>
  </r>
  <r>
    <x v="242"/>
    <s v="Elisa Neves"/>
    <s v="Ultimate"/>
    <d v="2024-10-25T00:00:00"/>
    <x v="1"/>
    <n v="15"/>
    <x v="0"/>
    <s v="Yes"/>
    <n v="30"/>
    <s v="Yes"/>
    <n v="20"/>
    <n v="3"/>
    <n v="62"/>
    <x v="9"/>
  </r>
  <r>
    <x v="243"/>
    <s v="Fabiano Pires"/>
    <s v="Standard"/>
    <d v="2024-10-26T00:00:00"/>
    <x v="0"/>
    <n v="10"/>
    <x v="1"/>
    <s v="No"/>
    <s v="-"/>
    <s v="Yes"/>
    <n v="20"/>
    <n v="15"/>
    <n v="15"/>
    <x v="9"/>
  </r>
  <r>
    <x v="244"/>
    <s v="Giovana Ribeiro"/>
    <s v="Core"/>
    <d v="2024-10-27T00:00:00"/>
    <x v="1"/>
    <n v="5"/>
    <x v="0"/>
    <s v="No"/>
    <s v="-"/>
    <s v="No"/>
    <n v="0"/>
    <n v="1"/>
    <n v="4"/>
    <x v="9"/>
  </r>
  <r>
    <x v="245"/>
    <s v="Hélio Costa"/>
    <s v="Ultimate"/>
    <d v="2024-10-28T00:00:00"/>
    <x v="0"/>
    <n v="15"/>
    <x v="2"/>
    <s v="Yes"/>
    <n v="30"/>
    <s v="Yes"/>
    <n v="20"/>
    <n v="7"/>
    <n v="58"/>
    <x v="9"/>
  </r>
  <r>
    <x v="246"/>
    <s v="Íris Loureiro"/>
    <s v="Standard"/>
    <d v="2024-10-29T00:00:00"/>
    <x v="1"/>
    <n v="10"/>
    <x v="0"/>
    <s v="No"/>
    <s v="-"/>
    <s v="Yes"/>
    <n v="20"/>
    <n v="10"/>
    <n v="20"/>
    <x v="9"/>
  </r>
  <r>
    <x v="247"/>
    <s v="João Pereira"/>
    <s v="Core"/>
    <d v="2024-10-30T00:00:00"/>
    <x v="0"/>
    <n v="5"/>
    <x v="1"/>
    <s v="No"/>
    <s v="-"/>
    <s v="No"/>
    <n v="0"/>
    <n v="0"/>
    <n v="5"/>
    <x v="9"/>
  </r>
  <r>
    <x v="248"/>
    <s v="Klara Silva"/>
    <s v="Ultimate"/>
    <d v="2024-10-31T00:00:00"/>
    <x v="1"/>
    <n v="15"/>
    <x v="0"/>
    <s v="Yes"/>
    <n v="30"/>
    <s v="Yes"/>
    <n v="20"/>
    <n v="20"/>
    <n v="45"/>
    <x v="9"/>
  </r>
  <r>
    <x v="249"/>
    <s v="Luciana Barros"/>
    <s v="Standard"/>
    <d v="2024-11-01T00:00:00"/>
    <x v="0"/>
    <n v="10"/>
    <x v="2"/>
    <s v="No"/>
    <s v="-"/>
    <s v="Yes"/>
    <n v="20"/>
    <n v="15"/>
    <n v="15"/>
    <x v="10"/>
  </r>
  <r>
    <x v="250"/>
    <s v="Marcos Gomes"/>
    <s v="Core"/>
    <d v="2024-11-02T00:00:00"/>
    <x v="1"/>
    <n v="5"/>
    <x v="0"/>
    <s v="No"/>
    <s v="-"/>
    <s v="No"/>
    <n v="0"/>
    <n v="1"/>
    <n v="4"/>
    <x v="10"/>
  </r>
  <r>
    <x v="251"/>
    <s v="Natália Soares"/>
    <s v="Ultimate"/>
    <d v="2024-11-03T00:00:00"/>
    <x v="0"/>
    <n v="15"/>
    <x v="1"/>
    <s v="Yes"/>
    <n v="30"/>
    <s v="Yes"/>
    <n v="20"/>
    <n v="3"/>
    <n v="62"/>
    <x v="10"/>
  </r>
  <r>
    <x v="252"/>
    <s v="Oscar Machado"/>
    <s v="Standard"/>
    <d v="2024-11-04T00:00:00"/>
    <x v="1"/>
    <n v="10"/>
    <x v="0"/>
    <s v="No"/>
    <s v="-"/>
    <s v="Yes"/>
    <n v="20"/>
    <n v="10"/>
    <n v="20"/>
    <x v="10"/>
  </r>
  <r>
    <x v="253"/>
    <s v="Patrícia Lima"/>
    <s v="Core"/>
    <d v="2024-11-05T00:00:00"/>
    <x v="0"/>
    <n v="5"/>
    <x v="2"/>
    <s v="No"/>
    <s v="-"/>
    <s v="No"/>
    <n v="0"/>
    <n v="0"/>
    <n v="5"/>
    <x v="10"/>
  </r>
  <r>
    <x v="254"/>
    <s v="Quirino Neto"/>
    <s v="Ultimate"/>
    <d v="2024-11-06T00:00:00"/>
    <x v="1"/>
    <n v="15"/>
    <x v="0"/>
    <s v="Yes"/>
    <n v="30"/>
    <s v="Yes"/>
    <n v="20"/>
    <n v="15"/>
    <n v="50"/>
    <x v="10"/>
  </r>
  <r>
    <x v="255"/>
    <s v="Rafaela Souza"/>
    <s v="Core"/>
    <d v="2024-11-07T00:00:00"/>
    <x v="0"/>
    <n v="5"/>
    <x v="0"/>
    <s v="No"/>
    <s v="-"/>
    <s v="No"/>
    <n v="0"/>
    <n v="0"/>
    <n v="5"/>
    <x v="10"/>
  </r>
  <r>
    <x v="256"/>
    <s v="Sandro Almeida"/>
    <s v="Ultimate"/>
    <d v="2024-11-08T00:00:00"/>
    <x v="1"/>
    <n v="15"/>
    <x v="2"/>
    <s v="Yes"/>
    <n v="30"/>
    <s v="Yes"/>
    <n v="20"/>
    <n v="7"/>
    <n v="58"/>
    <x v="10"/>
  </r>
  <r>
    <x v="257"/>
    <s v="Tânia Ribeiro"/>
    <s v="Standard"/>
    <d v="2024-11-09T00:00:00"/>
    <x v="0"/>
    <n v="10"/>
    <x v="1"/>
    <s v="No"/>
    <s v="-"/>
    <s v="Yes"/>
    <n v="20"/>
    <n v="10"/>
    <n v="20"/>
    <x v="10"/>
  </r>
  <r>
    <x v="258"/>
    <s v="Ugo Dias"/>
    <s v="Core"/>
    <d v="2024-11-10T00:00:00"/>
    <x v="1"/>
    <n v="5"/>
    <x v="2"/>
    <s v="No"/>
    <s v="-"/>
    <s v="No"/>
    <n v="0"/>
    <n v="1"/>
    <n v="4"/>
    <x v="10"/>
  </r>
  <r>
    <x v="259"/>
    <s v="Valéria Lima"/>
    <s v="Ultimate"/>
    <d v="2024-11-11T00:00:00"/>
    <x v="0"/>
    <n v="15"/>
    <x v="0"/>
    <s v="Yes"/>
    <n v="30"/>
    <s v="Yes"/>
    <n v="20"/>
    <n v="15"/>
    <n v="50"/>
    <x v="10"/>
  </r>
  <r>
    <x v="260"/>
    <s v="William Fernandes"/>
    <s v="Standard"/>
    <d v="2024-11-12T00:00:00"/>
    <x v="1"/>
    <n v="10"/>
    <x v="0"/>
    <s v="No"/>
    <s v="-"/>
    <s v="Yes"/>
    <n v="20"/>
    <n v="5"/>
    <n v="25"/>
    <x v="10"/>
  </r>
  <r>
    <x v="261"/>
    <s v="Xuxa Mendes"/>
    <s v="Core"/>
    <d v="2024-11-13T00:00:00"/>
    <x v="0"/>
    <n v="5"/>
    <x v="1"/>
    <s v="No"/>
    <s v="-"/>
    <s v="No"/>
    <n v="0"/>
    <n v="0"/>
    <n v="5"/>
    <x v="10"/>
  </r>
  <r>
    <x v="262"/>
    <s v="Ygor Farias"/>
    <s v="Ultimate"/>
    <d v="2024-11-14T00:00:00"/>
    <x v="1"/>
    <n v="15"/>
    <x v="2"/>
    <s v="Yes"/>
    <n v="30"/>
    <s v="Yes"/>
    <n v="20"/>
    <n v="20"/>
    <n v="45"/>
    <x v="10"/>
  </r>
  <r>
    <x v="263"/>
    <s v="Zilda Barros"/>
    <s v="Standard"/>
    <d v="2024-11-15T00:00:00"/>
    <x v="0"/>
    <n v="10"/>
    <x v="2"/>
    <s v="No"/>
    <s v="-"/>
    <s v="Yes"/>
    <n v="20"/>
    <n v="12"/>
    <n v="18"/>
    <x v="10"/>
  </r>
  <r>
    <x v="264"/>
    <s v="Amanda Santos"/>
    <s v="Core"/>
    <d v="2024-11-16T00:00:00"/>
    <x v="1"/>
    <n v="5"/>
    <x v="0"/>
    <s v="No"/>
    <s v="-"/>
    <s v="No"/>
    <n v="0"/>
    <n v="2"/>
    <n v="3"/>
    <x v="10"/>
  </r>
  <r>
    <x v="265"/>
    <s v="Bruno Costa"/>
    <s v="Ultimate"/>
    <d v="2024-11-17T00:00:00"/>
    <x v="0"/>
    <n v="15"/>
    <x v="1"/>
    <s v="Yes"/>
    <n v="30"/>
    <s v="Yes"/>
    <n v="20"/>
    <n v="5"/>
    <n v="60"/>
    <x v="10"/>
  </r>
  <r>
    <x v="266"/>
    <s v="Carla Rodrigues"/>
    <s v="Standard"/>
    <d v="2024-11-18T00:00:00"/>
    <x v="1"/>
    <n v="10"/>
    <x v="0"/>
    <s v="No"/>
    <s v="-"/>
    <s v="Yes"/>
    <n v="20"/>
    <n v="10"/>
    <n v="20"/>
    <x v="10"/>
  </r>
  <r>
    <x v="267"/>
    <s v="Diogo Pereira"/>
    <s v="Core"/>
    <d v="2024-11-19T00:00:00"/>
    <x v="0"/>
    <n v="5"/>
    <x v="2"/>
    <s v="No"/>
    <s v="-"/>
    <s v="No"/>
    <n v="0"/>
    <n v="0"/>
    <n v="5"/>
    <x v="10"/>
  </r>
  <r>
    <x v="268"/>
    <s v="Elisa Correia"/>
    <s v="Ultimate"/>
    <d v="2024-11-20T00:00:00"/>
    <x v="1"/>
    <n v="15"/>
    <x v="0"/>
    <s v="Yes"/>
    <n v="30"/>
    <s v="Yes"/>
    <n v="20"/>
    <n v="3"/>
    <n v="62"/>
    <x v="10"/>
  </r>
  <r>
    <x v="269"/>
    <s v="Fábio Lourenço"/>
    <s v="Standard"/>
    <d v="2024-11-21T00:00:00"/>
    <x v="0"/>
    <n v="10"/>
    <x v="1"/>
    <s v="No"/>
    <s v="-"/>
    <s v="Yes"/>
    <n v="20"/>
    <n v="15"/>
    <n v="15"/>
    <x v="10"/>
  </r>
  <r>
    <x v="270"/>
    <s v="Gabriela Neves"/>
    <s v="Core"/>
    <d v="2024-11-22T00:00:00"/>
    <x v="1"/>
    <n v="5"/>
    <x v="0"/>
    <s v="No"/>
    <s v="-"/>
    <s v="No"/>
    <n v="0"/>
    <n v="1"/>
    <n v="4"/>
    <x v="10"/>
  </r>
  <r>
    <x v="271"/>
    <s v="Henrique Gonçalves"/>
    <s v="Ultimate"/>
    <d v="2024-11-23T00:00:00"/>
    <x v="0"/>
    <n v="15"/>
    <x v="2"/>
    <s v="Yes"/>
    <n v="30"/>
    <s v="Yes"/>
    <n v="20"/>
    <n v="7"/>
    <n v="58"/>
    <x v="10"/>
  </r>
  <r>
    <x v="272"/>
    <s v="Íris Santos"/>
    <s v="Standard"/>
    <d v="2024-11-24T00:00:00"/>
    <x v="1"/>
    <n v="10"/>
    <x v="0"/>
    <s v="No"/>
    <s v="-"/>
    <s v="Yes"/>
    <n v="20"/>
    <n v="10"/>
    <n v="20"/>
    <x v="10"/>
  </r>
  <r>
    <x v="273"/>
    <s v="João Marcelo Alves"/>
    <s v="Core"/>
    <d v="2024-11-25T00:00:00"/>
    <x v="0"/>
    <n v="5"/>
    <x v="1"/>
    <s v="No"/>
    <s v="-"/>
    <s v="No"/>
    <n v="0"/>
    <n v="0"/>
    <n v="5"/>
    <x v="10"/>
  </r>
  <r>
    <x v="274"/>
    <s v="Klara Fonseca"/>
    <s v="Ultimate"/>
    <d v="2024-11-26T00:00:00"/>
    <x v="1"/>
    <n v="15"/>
    <x v="0"/>
    <s v="Yes"/>
    <n v="30"/>
    <s v="Yes"/>
    <n v="20"/>
    <n v="20"/>
    <n v="45"/>
    <x v="10"/>
  </r>
  <r>
    <x v="275"/>
    <s v="Lucas Mendonça"/>
    <s v="Standard"/>
    <d v="2024-11-27T00:00:00"/>
    <x v="0"/>
    <n v="10"/>
    <x v="2"/>
    <s v="No"/>
    <s v="-"/>
    <s v="Yes"/>
    <n v="20"/>
    <n v="15"/>
    <n v="15"/>
    <x v="10"/>
  </r>
  <r>
    <x v="276"/>
    <s v="Marcela Torres"/>
    <s v="Core"/>
    <d v="2024-11-28T00:00:00"/>
    <x v="1"/>
    <n v="5"/>
    <x v="0"/>
    <s v="No"/>
    <s v="-"/>
    <s v="No"/>
    <n v="0"/>
    <n v="1"/>
    <n v="4"/>
    <x v="10"/>
  </r>
  <r>
    <x v="277"/>
    <s v="Natália Castro"/>
    <s v="Ultimate"/>
    <d v="2024-11-29T00:00:00"/>
    <x v="0"/>
    <n v="15"/>
    <x v="1"/>
    <s v="Yes"/>
    <n v="30"/>
    <s v="Yes"/>
    <n v="20"/>
    <n v="3"/>
    <n v="62"/>
    <x v="10"/>
  </r>
  <r>
    <x v="278"/>
    <s v="Oscar Martins"/>
    <s v="Standard"/>
    <d v="2024-11-30T00:00:00"/>
    <x v="1"/>
    <n v="10"/>
    <x v="0"/>
    <s v="No"/>
    <s v="-"/>
    <s v="Yes"/>
    <n v="20"/>
    <n v="10"/>
    <n v="20"/>
    <x v="10"/>
  </r>
  <r>
    <x v="279"/>
    <s v="Patrícia Oliveira"/>
    <s v="Core"/>
    <d v="2024-12-01T00:00:00"/>
    <x v="0"/>
    <n v="5"/>
    <x v="2"/>
    <s v="No"/>
    <s v="-"/>
    <s v="No"/>
    <n v="0"/>
    <n v="0"/>
    <n v="5"/>
    <x v="11"/>
  </r>
  <r>
    <x v="280"/>
    <s v="Quentin Nogueira"/>
    <s v="Ultimate"/>
    <d v="2024-12-02T00:00:00"/>
    <x v="1"/>
    <n v="15"/>
    <x v="0"/>
    <s v="Yes"/>
    <n v="30"/>
    <s v="Yes"/>
    <n v="20"/>
    <n v="15"/>
    <n v="50"/>
    <x v="11"/>
  </r>
  <r>
    <x v="281"/>
    <s v="Raquel Silva"/>
    <s v="Standard"/>
    <d v="2024-12-03T00:00:00"/>
    <x v="0"/>
    <n v="10"/>
    <x v="1"/>
    <s v="No"/>
    <s v="-"/>
    <s v="Yes"/>
    <n v="20"/>
    <n v="15"/>
    <n v="15"/>
    <x v="11"/>
  </r>
  <r>
    <x v="282"/>
    <s v="Sandro Gomes"/>
    <s v="Core"/>
    <d v="2024-12-04T00:00:00"/>
    <x v="1"/>
    <n v="5"/>
    <x v="0"/>
    <s v="No"/>
    <s v="-"/>
    <s v="No"/>
    <n v="0"/>
    <n v="1"/>
    <n v="4"/>
    <x v="11"/>
  </r>
  <r>
    <x v="283"/>
    <s v="Tânia Machado"/>
    <s v="Ultimate"/>
    <d v="2024-12-05T00:00:00"/>
    <x v="0"/>
    <n v="15"/>
    <x v="2"/>
    <s v="Yes"/>
    <n v="30"/>
    <s v="Yes"/>
    <n v="20"/>
    <n v="7"/>
    <n v="58"/>
    <x v="11"/>
  </r>
  <r>
    <x v="284"/>
    <s v="Ursula Silva"/>
    <s v="Standard"/>
    <d v="2024-12-06T00:00:00"/>
    <x v="1"/>
    <n v="10"/>
    <x v="0"/>
    <s v="No"/>
    <s v="-"/>
    <s v="Yes"/>
    <n v="20"/>
    <n v="10"/>
    <n v="20"/>
    <x v="11"/>
  </r>
  <r>
    <x v="285"/>
    <s v="Vanessa Moraes"/>
    <s v="Core"/>
    <d v="2024-12-07T00:00:00"/>
    <x v="0"/>
    <n v="5"/>
    <x v="1"/>
    <s v="No"/>
    <s v="-"/>
    <s v="No"/>
    <n v="0"/>
    <n v="0"/>
    <n v="5"/>
    <x v="11"/>
  </r>
  <r>
    <x v="286"/>
    <s v="William Carvalho"/>
    <s v="Ultimate"/>
    <d v="2024-12-08T00:00:00"/>
    <x v="1"/>
    <n v="15"/>
    <x v="0"/>
    <s v="Yes"/>
    <n v="30"/>
    <s v="Yes"/>
    <n v="20"/>
    <n v="20"/>
    <n v="45"/>
    <x v="11"/>
  </r>
  <r>
    <x v="287"/>
    <s v="Xavier Reis"/>
    <s v="Standard"/>
    <d v="2024-12-09T00:00:00"/>
    <x v="0"/>
    <n v="10"/>
    <x v="2"/>
    <s v="No"/>
    <s v="-"/>
    <s v="Yes"/>
    <n v="20"/>
    <n v="12"/>
    <n v="18"/>
    <x v="11"/>
  </r>
  <r>
    <x v="288"/>
    <s v="Yasmin Rocha"/>
    <s v="Core"/>
    <d v="2024-12-10T00:00:00"/>
    <x v="1"/>
    <n v="5"/>
    <x v="0"/>
    <s v="No"/>
    <s v="-"/>
    <s v="No"/>
    <n v="0"/>
    <n v="2"/>
    <n v="3"/>
    <x v="11"/>
  </r>
  <r>
    <x v="289"/>
    <s v="Zacarias Duarte"/>
    <s v="Ultimate"/>
    <d v="2024-12-11T00:00:00"/>
    <x v="0"/>
    <n v="15"/>
    <x v="1"/>
    <s v="Yes"/>
    <n v="30"/>
    <s v="Yes"/>
    <n v="20"/>
    <n v="5"/>
    <n v="60"/>
    <x v="11"/>
  </r>
  <r>
    <x v="290"/>
    <s v="Amanda Freitas"/>
    <s v="Standard"/>
    <d v="2024-12-12T00:00:00"/>
    <x v="1"/>
    <n v="10"/>
    <x v="0"/>
    <s v="No"/>
    <s v="-"/>
    <s v="Yes"/>
    <n v="20"/>
    <n v="10"/>
    <n v="20"/>
    <x v="11"/>
  </r>
  <r>
    <x v="291"/>
    <s v="Bruno Almeida"/>
    <s v="Core"/>
    <d v="2024-12-13T00:00:00"/>
    <x v="0"/>
    <n v="5"/>
    <x v="2"/>
    <s v="No"/>
    <s v="-"/>
    <s v="No"/>
    <n v="0"/>
    <n v="0"/>
    <n v="5"/>
    <x v="11"/>
  </r>
  <r>
    <x v="292"/>
    <s v="Carla Siqueira"/>
    <s v="Ultimate"/>
    <d v="2024-12-14T00:00:00"/>
    <x v="1"/>
    <n v="15"/>
    <x v="0"/>
    <s v="Yes"/>
    <n v="30"/>
    <s v="Yes"/>
    <n v="20"/>
    <n v="3"/>
    <n v="62"/>
    <x v="11"/>
  </r>
  <r>
    <x v="293"/>
    <s v="Diogo Ramos"/>
    <s v="Standard"/>
    <d v="2024-12-15T00:00:00"/>
    <x v="0"/>
    <n v="10"/>
    <x v="1"/>
    <s v="No"/>
    <s v="-"/>
    <s v="Yes"/>
    <n v="20"/>
    <n v="15"/>
    <n v="15"/>
    <x v="11"/>
  </r>
  <r>
    <x v="294"/>
    <s v="Elisa Magalhães"/>
    <s v="Core"/>
    <d v="2024-12-16T00:00:00"/>
    <x v="1"/>
    <n v="5"/>
    <x v="0"/>
    <s v="No"/>
    <s v="-"/>
    <s v="No"/>
    <n v="0"/>
    <n v="1"/>
    <n v="4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A48AE2-681A-49D1-9370-F5C9CEB71B58}" name="Tabela dinâmica2" cacheId="59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A3:B16" firstHeaderRow="1" firstDataRow="1" firstDataCol="1"/>
  <pivotFields count="14"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numFmtId="4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Total Value" fld="12" baseField="0" baseItem="0" numFmtId="4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53DBD-0A86-488B-9965-377E925AE79D}">
  <dimension ref="A3:B16"/>
  <sheetViews>
    <sheetView topLeftCell="A13" workbookViewId="0">
      <selection activeCell="I18" sqref="I18"/>
    </sheetView>
  </sheetViews>
  <sheetFormatPr defaultRowHeight="15"/>
  <cols>
    <col min="1" max="1" width="10.42578125" bestFit="1" customWidth="1"/>
    <col min="2" max="2" width="18.7109375" bestFit="1" customWidth="1"/>
  </cols>
  <sheetData>
    <row r="3" spans="1:2">
      <c r="A3" s="1" t="s">
        <v>0</v>
      </c>
      <c r="B3" t="s">
        <v>1</v>
      </c>
    </row>
    <row r="4" spans="1:2">
      <c r="A4" t="s">
        <v>2</v>
      </c>
      <c r="B4" s="2">
        <v>65</v>
      </c>
    </row>
    <row r="5" spans="1:2">
      <c r="A5" t="s">
        <v>3</v>
      </c>
      <c r="B5" s="2">
        <v>82</v>
      </c>
    </row>
    <row r="6" spans="1:2">
      <c r="A6" t="s">
        <v>4</v>
      </c>
      <c r="B6" s="2">
        <v>801</v>
      </c>
    </row>
    <row r="7" spans="1:2">
      <c r="A7" t="s">
        <v>5</v>
      </c>
      <c r="B7" s="2">
        <v>782</v>
      </c>
    </row>
    <row r="8" spans="1:2">
      <c r="A8" t="s">
        <v>6</v>
      </c>
      <c r="B8" s="2">
        <v>777</v>
      </c>
    </row>
    <row r="9" spans="1:2">
      <c r="A9" t="s">
        <v>7</v>
      </c>
      <c r="B9" s="2">
        <v>770</v>
      </c>
    </row>
    <row r="10" spans="1:2">
      <c r="A10" t="s">
        <v>8</v>
      </c>
      <c r="B10" s="2">
        <v>784</v>
      </c>
    </row>
    <row r="11" spans="1:2">
      <c r="A11" t="s">
        <v>9</v>
      </c>
      <c r="B11" s="2">
        <v>787</v>
      </c>
    </row>
    <row r="12" spans="1:2">
      <c r="A12" t="s">
        <v>10</v>
      </c>
      <c r="B12" s="2">
        <v>780</v>
      </c>
    </row>
    <row r="13" spans="1:2">
      <c r="A13" t="s">
        <v>11</v>
      </c>
      <c r="B13" s="2">
        <v>832</v>
      </c>
    </row>
    <row r="14" spans="1:2">
      <c r="A14" t="s">
        <v>12</v>
      </c>
      <c r="B14" s="2">
        <v>784</v>
      </c>
    </row>
    <row r="15" spans="1:2">
      <c r="A15" t="s">
        <v>13</v>
      </c>
      <c r="B15" s="2">
        <v>389</v>
      </c>
    </row>
    <row r="16" spans="1:2">
      <c r="A16" t="s">
        <v>14</v>
      </c>
      <c r="B16" s="2">
        <v>7633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sheetPr>
    <tabColor rgb="FFA6C9EC"/>
    <pageSetUpPr fitToPage="1"/>
  </sheetPr>
  <dimension ref="A2:A7"/>
  <sheetViews>
    <sheetView showGridLines="0" tabSelected="1" topLeftCell="A22" zoomScale="80" zoomScaleNormal="80" workbookViewId="0">
      <selection activeCell="R8" sqref="R8"/>
    </sheetView>
  </sheetViews>
  <sheetFormatPr defaultRowHeight="15"/>
  <cols>
    <col min="1" max="1" width="20" customWidth="1"/>
    <col min="2" max="2" width="12.7109375" customWidth="1"/>
    <col min="4" max="4" width="24.7109375" bestFit="1" customWidth="1"/>
    <col min="12" max="12" width="6.5703125" customWidth="1"/>
    <col min="18" max="18" width="36.5703125" bestFit="1" customWidth="1"/>
  </cols>
  <sheetData>
    <row r="2" ht="39" customHeight="1"/>
    <row r="3" ht="8.25" customHeight="1"/>
    <row r="4" ht="7.5" customHeight="1"/>
    <row r="5" ht="10.5" customHeight="1"/>
    <row r="6" ht="9.75" customHeight="1"/>
    <row r="7" ht="33" customHeight="1"/>
  </sheetData>
  <pageMargins left="0.511811024" right="0.511811024" top="0.78740157499999996" bottom="0.78740157499999996" header="0.31496062000000002" footer="0.31496062000000002"/>
  <pageSetup paperSize="9" fitToHeight="0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/>
</file>

<file path=customXml/itemProps2.xml><?xml version="1.0" encoding="utf-8"?>
<ds:datastoreItem xmlns:ds="http://schemas.openxmlformats.org/officeDocument/2006/customXml" ds:itemID="{32608D25-EC36-42FE-A1DC-F778995A6799}"/>
</file>

<file path=customXml/itemProps3.xml><?xml version="1.0" encoding="utf-8"?>
<ds:datastoreItem xmlns:ds="http://schemas.openxmlformats.org/officeDocument/2006/customXml" ds:itemID="{E3B4D9D5-B351-46EB-A728-C3362FE437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2026-03-22T16:49:19Z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